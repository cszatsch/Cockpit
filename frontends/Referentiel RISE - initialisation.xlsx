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étude" state="visible" r:id="rId4"/>
    <sheet sheetId="2" name="Glossaire" state="visible" r:id="rId5"/>
    <sheet sheetId="3" name="01 Équipes" state="visible" r:id="rId6"/>
    <sheet sheetId="4" name="02 Rôles" state="visible" r:id="rId7"/>
    <sheet sheetId="5" name="03 Personnes" state="visible" r:id="rId8"/>
    <sheet sheetId="6" name="04 Affectations" state="visible" r:id="rId9"/>
    <sheet sheetId="7" name="05 Projet" state="visible" r:id="rId10"/>
    <sheet sheetId="8" name="06 Lots" state="visible" r:id="rId11"/>
    <sheet sheetId="9" name="07 Phases" state="visible" r:id="rId12"/>
    <sheet sheetId="10" name="08 Sous-phases" state="visible" r:id="rId13"/>
    <sheet sheetId="11" name="09 Chantiers" state="visible" r:id="rId14"/>
    <sheet sheetId="12" name="10 Instances" state="visible" r:id="rId15"/>
    <sheet sheetId="13" name="11 Membres" state="visible" r:id="rId16"/>
    <sheet sheetId="14" name="12 Jalons" state="visible" r:id="rId17"/>
    <sheet sheetId="15" name="13 Livrables" state="visible" r:id="rId18"/>
    <sheet sheetId="16" name="Listes" state="veryHidden" r:id="rId19"/>
  </sheets>
  <definedNames>
    <definedName name="L_StatutLot">Listes!$A$2:$A$4</definedName>
    <definedName name="L_StatutPhase">Listes!$B$2:$B$4</definedName>
    <definedName name="L_StatutChantier">Listes!$C$2:$C$3</definedName>
    <definedName name="L_Permission">Listes!$D$2:$D$6</definedName>
    <definedName name="L_OuiNon">Listes!$E$2:$E$3</definedName>
    <definedName name="L_Frequence">Listes!$F$2:$F$8</definedName>
    <definedName name="L_Niveau">Listes!$G$2:$G$5</definedName>
    <definedName name="L_Couleur">Listes!$H$2:$H$9</definedName>
    <definedName name="L_RoleInstance">Listes!$I$2:$I$5</definedName>
    <definedName name="L_StatutProjet">Listes!$J$2:$J$4</definedName>
    <definedName name="L_Fuseau">Listes!$K$2:$K$6</definedName>
    <definedName name="L_Equipes">'01 Équipes'!$B$9:$B$38</definedName>
    <definedName name="L_Roles">'02 Rôles'!$B$9:$B$48</definedName>
    <definedName name="L_Personnes">'03 Personnes'!$B$9:$B$158</definedName>
    <definedName name="L_Lots">'06 Lots'!$B$9:$B$38</definedName>
    <definedName name="L_Phases">'07 Phases'!$B$9:$B$38</definedName>
    <definedName name="L_SousPhases">'08 Sous-phases'!$B$9:$B$88</definedName>
    <definedName name="L_Chantiers">'09 Chantiers'!$C$9:$C$38</definedName>
    <definedName name="L_Instances">'10 Instances'!$B$9:$B$28</definedName>
    <definedName name="_xlnm.Print_Titles" localSheetId="2">'01 Équipes'!$8:$8</definedName>
    <definedName name="_xlnm.Print_Titles" localSheetId="3">'02 Rôles'!$8:$8</definedName>
    <definedName name="_xlnm.Print_Titles" localSheetId="4">'03 Personnes'!$8:$8</definedName>
    <definedName name="_xlnm.Print_Titles" localSheetId="5">'04 Affectations'!$8:$8</definedName>
    <definedName name="_xlnm.Print_Titles" localSheetId="7">'06 Lots'!$8:$8</definedName>
    <definedName name="_xlnm.Print_Titles" localSheetId="8">'07 Phases'!$8:$8</definedName>
    <definedName name="_xlnm.Print_Titles" localSheetId="9">'08 Sous-phases'!$8:$8</definedName>
    <definedName name="_xlnm.Print_Titles" localSheetId="10">'09 Chantiers'!$8:$8</definedName>
    <definedName name="_xlnm.Print_Titles" localSheetId="11">'10 Instances'!$8:$8</definedName>
    <definedName name="_xlnm.Print_Titles" localSheetId="12">'11 Membres'!$8:$8</definedName>
    <definedName name="_xlnm.Print_Titles" localSheetId="13">'12 Jalons'!$8:$8</definedName>
    <definedName name="_xlnm.Print_Titles" localSheetId="14">'13 Livrables'!$8:$8</definedName>
  </definedNames>
  <calcPr calcId="171027" fullCalcOnLoad="1"/>
</workbook>
</file>

<file path=xl/sharedStrings.xml><?xml version="1.0" encoding="utf-8"?>
<sst xmlns="http://schemas.openxmlformats.org/spreadsheetml/2006/main" count="493" uniqueCount="295">
  <si>
    <t>Référentiel projet</t>
  </si>
  <si>
    <t>Fichier d’initialisation · à remplir par le PMO pendant la préparation du projet</t>
  </si>
  <si>
    <t>1</t>
  </si>
  <si>
    <t>Remplissez les groupes dans l’ordre (Organisation, Structure, Gouvernance, Pilotage), puis les onglets dans l’ordre des étapes.</t>
  </si>
  <si>
    <t>2</t>
  </si>
  <si>
    <t>Choisissez les valeurs dans les listes ▾ : elles se nourrissent des onglets précédents et relient les onglets entre eux.</t>
  </si>
  <si>
    <t>3</t>
  </si>
  <si>
    <t>Une cellule orangée est un champ obligatoire manquant ; la colonne Contrôle signale les incohérences.</t>
  </si>
  <si>
    <r>
      <rPr>
        <b/>
        <color rgb="FFB26A12"/>
        <sz val="8"/>
        <rFont val="Aptos"/>
      </rPr>
      <t>OBLIGATOIRE</t>
    </r>
    <r>
      <rPr>
        <color rgb="FF5C7280"/>
        <sz val="9"/>
        <rFont val="Aptos"/>
      </rPr>
      <t xml:space="preserve">  compte dans la complétude      </t>
    </r>
    <r>
      <rPr>
        <b/>
        <color rgb="FF8A9AA6"/>
        <sz val="8"/>
        <rFont val="Aptos"/>
      </rPr>
      <t>FACULTATIF</t>
    </r>
    <r>
      <rPr>
        <color rgb="FF5C7280"/>
        <sz val="9"/>
        <rFont val="Aptos"/>
      </rPr>
      <t xml:space="preserve">  ne compte pas      </t>
    </r>
    <r>
      <rPr>
        <b/>
        <color rgb="FF1D8F86"/>
        <sz val="8"/>
        <rFont val="Aptos"/>
      </rPr>
      <t>CALCULÉ</t>
    </r>
    <r>
      <rPr>
        <color rgb="FF5C7280"/>
        <sz val="9"/>
        <rFont val="Aptos"/>
      </rPr>
      <t xml:space="preserve">  rempli par le fichier, fond gris      </t>
    </r>
    <r>
      <rPr>
        <b/>
        <color rgb="FF10233A"/>
        <sz val="9"/>
        <rFont val="Aptos"/>
      </rPr>
      <t>▾</t>
    </r>
    <r>
      <rPr>
        <color rgb="FF5C7280"/>
        <sz val="9"/>
        <rFont val="Aptos"/>
      </rPr>
      <t xml:space="preserve">  liste reliée à un autre onglet</t>
    </r>
  </si>
  <si>
    <t>Champ obligatoire manquant</t>
  </si>
  <si>
    <r>
      <rPr>
        <b/>
        <color rgb="FFC2473B"/>
        <sz val="9"/>
        <rFont val="Aptos"/>
      </rPr>
      <t xml:space="preserve">⚠ </t>
    </r>
    <r>
      <rPr>
        <color rgb="FF5C7280"/>
        <sz val="9"/>
        <rFont val="Aptos"/>
      </rPr>
      <t xml:space="preserve">incohérence bloquante     </t>
    </r>
    <r>
      <rPr>
        <b/>
        <color rgb="FFB26A12"/>
        <sz val="9"/>
        <rFont val="Aptos"/>
      </rPr>
      <t xml:space="preserve">◔ </t>
    </r>
    <r>
      <rPr>
        <color rgb="FF5C7280"/>
        <sz val="9"/>
        <rFont val="Aptos"/>
      </rPr>
      <t>avertissement</t>
    </r>
  </si>
  <si>
    <t>Étape</t>
  </si>
  <si>
    <t>Onglet</t>
  </si>
  <si>
    <t>Contenu</t>
  </si>
  <si>
    <t>Dépend de</t>
  </si>
  <si>
    <t>Lignes</t>
  </si>
  <si>
    <t>Obligatoires remplis</t>
  </si>
  <si>
    <t>Progression</t>
  </si>
  <si>
    <t>%</t>
  </si>
  <si>
    <t>Statut</t>
  </si>
  <si>
    <t>ORGANISATION</t>
  </si>
  <si>
    <t>01</t>
  </si>
  <si>
    <t>Équipes</t>
  </si>
  <si>
    <t>Sociétés et entités du projet</t>
  </si>
  <si>
    <t>—</t>
  </si>
  <si>
    <t>02</t>
  </si>
  <si>
    <t>Rôles projet</t>
  </si>
  <si>
    <t>Rôles métier</t>
  </si>
  <si>
    <t>03</t>
  </si>
  <si>
    <t>Personnes</t>
  </si>
  <si>
    <t>Annuaire du projet</t>
  </si>
  <si>
    <t>04</t>
  </si>
  <si>
    <t>Affectations</t>
  </si>
  <si>
    <t>Qui tient quel rôle, et quand</t>
  </si>
  <si>
    <t>Personnes, Rôles</t>
  </si>
  <si>
    <t>STRUCTURE</t>
  </si>
  <si>
    <t>05</t>
  </si>
  <si>
    <t>Projet</t>
  </si>
  <si>
    <t>Identité du client et du projet</t>
  </si>
  <si>
    <t>Équipes, Personnes</t>
  </si>
  <si>
    <t>06</t>
  </si>
  <si>
    <t>Lots</t>
  </si>
  <si>
    <t>Vagues de déploiement</t>
  </si>
  <si>
    <t>07</t>
  </si>
  <si>
    <t>Phases</t>
  </si>
  <si>
    <t>Grandes étapes de la méthode</t>
  </si>
  <si>
    <t>08</t>
  </si>
  <si>
    <t>Sous-phases</t>
  </si>
  <si>
    <t>Découpage des phases</t>
  </si>
  <si>
    <t>09</t>
  </si>
  <si>
    <t>Chantiers</t>
  </si>
  <si>
    <t>Domaines de travail</t>
  </si>
  <si>
    <t>Personnes, Lots</t>
  </si>
  <si>
    <t>GOUVERNANCE</t>
  </si>
  <si>
    <t>10</t>
  </si>
  <si>
    <t>Instances de pilotage</t>
  </si>
  <si>
    <t>Comités du projet</t>
  </si>
  <si>
    <t>11</t>
  </si>
  <si>
    <t>Membres des instances</t>
  </si>
  <si>
    <t>Composition des comités</t>
  </si>
  <si>
    <t>Instances, Personnes</t>
  </si>
  <si>
    <t>PILOTAGE</t>
  </si>
  <si>
    <t>12</t>
  </si>
  <si>
    <t>Jalons</t>
  </si>
  <si>
    <t>Dates clés</t>
  </si>
  <si>
    <t>Phases, Sous-phases, Chantiers, Lots, Personnes</t>
  </si>
  <si>
    <t>13</t>
  </si>
  <si>
    <t>Livrables</t>
  </si>
  <si>
    <t>Productions attendues</t>
  </si>
  <si>
    <t>Sous-phases, Chantiers, Personnes</t>
  </si>
  <si>
    <t>Complétude d’un onglet = champs obligatoires remplis ÷ champs obligatoires attendus. Les champs facultatifs ne comptent pas.</t>
  </si>
  <si>
    <t>Une ligne est attendue dès qu’une de ses cellules est saisie : chacun de ses champs obligatoires est alors dû. Un onglet vide attend au moins une ligne.</t>
  </si>
  <si>
    <t>Complétude globale = total des champs obligatoires remplis ÷ total des champs obligatoires attendus, tous onglets confondus.</t>
  </si>
  <si>
    <t>Glossaire</t>
  </si>
  <si>
    <t>Les termes du référentiel, illustrés avec le projet RISE.</t>
  </si>
  <si>
    <t>Terme</t>
  </si>
  <si>
    <t>Définition</t>
  </si>
  <si>
    <t>Exemple</t>
  </si>
  <si>
    <t>Organisation</t>
  </si>
  <si>
    <t>Équipe</t>
  </si>
  <si>
    <t>Société ou entité qui travaille sur le projet. Chaque personne est rattachée à une équipe ; c’est elle qui indique pour quelle société la personne intervient.</t>
  </si>
  <si>
    <t>AMC Corp (client), Onepoint (AMOA), Codilog (intégrateur)</t>
  </si>
  <si>
    <t>01 Équipes</t>
  </si>
  <si>
    <t>Rôle projet</t>
  </si>
  <si>
    <t>Responsabilité métier tenue sur le projet. Distinct de la permission.</t>
  </si>
  <si>
    <t>Responsable chantier, Sponsor exécutif</t>
  </si>
  <si>
    <t>02 Rôles</t>
  </si>
  <si>
    <t>Permission</t>
  </si>
  <si>
    <t>Ce qu’une personne peut faire dans l’application.</t>
  </si>
  <si>
    <t>PMO : gère le référentiel · Lecteur : consulte</t>
  </si>
  <si>
    <t>03 Personnes</t>
  </si>
  <si>
    <t>Affectation</t>
  </si>
  <si>
    <t>Lien daté entre une personne et un rôle. Plusieurs affectations simultanées sont possibles ; une fin vide signifie « en cours ».</t>
  </si>
  <si>
    <t>Karim Benali · Référent données · 01/09/2025 → en cours</t>
  </si>
  <si>
    <t>04 Affectations</t>
  </si>
  <si>
    <t>Structure</t>
  </si>
  <si>
    <t>Référentiel</t>
  </si>
  <si>
    <t>Données de base du projet, saisies à l’initialisation et gérées par le PMO. Tout le reste de l’application s’appuie dessus.</t>
  </si>
  <si>
    <t>Lots, phases, chantiers, personnes, instances…</t>
  </si>
  <si>
    <t>Complétude</t>
  </si>
  <si>
    <t>Lot</t>
  </si>
  <si>
    <t>Vague de déploiement : un périmètre (sociétés, sites) et une période.</t>
  </si>
  <si>
    <t>Lot 1 · AMC Corp, Brand X et stores · 01/03/2024 → 30/06/2027</t>
  </si>
  <si>
    <t>06 Lots</t>
  </si>
  <si>
    <t>Phase</t>
  </si>
  <si>
    <t>Grande étape de la méthode projet, numérotée dans l’ordre.</t>
  </si>
  <si>
    <t>5 · Deploy · 01/02/2026 → 30/06/2027</t>
  </si>
  <si>
    <t>07 Phases</t>
  </si>
  <si>
    <t>Sous-phase</t>
  </si>
  <si>
    <t>Découpage d’une phase. Son numéro commence par celui de la phase.</t>
  </si>
  <si>
    <t>5.3 · Répétition générale (phase 5)</t>
  </si>
  <si>
    <t>08 Sous-phases</t>
  </si>
  <si>
    <t>Chantier</t>
  </si>
  <si>
    <t>Domaine de travail qui traverse les phases, avec un responsable.</t>
  </si>
  <si>
    <t>C5 · Migration des données · Karim Benali</t>
  </si>
  <si>
    <t>09 Chantiers</t>
  </si>
  <si>
    <t>Gouvernance</t>
  </si>
  <si>
    <t>Instance de pilotage</t>
  </si>
  <si>
    <t>Comité récurrent du projet, avec sa fréquence et ses membres.</t>
  </si>
  <si>
    <t>Comité de pilotage · mensuel · 6 membres</t>
  </si>
  <si>
    <t>10 Instances</t>
  </si>
  <si>
    <t>Nom court</t>
  </si>
  <si>
    <t>Libellé abrégé de l’instance, utilisé dans le calendrier des comités et les infobulles.</t>
  </si>
  <si>
    <t>COPIL, COPROJ</t>
  </si>
  <si>
    <t>Membre</t>
  </si>
  <si>
    <t>Personne qui siège dans une instance. Les membres sont les participants par défaut des séances.</t>
  </si>
  <si>
    <t>Philippe Aubert · Président du COPIL</t>
  </si>
  <si>
    <t>11 Membres</t>
  </si>
  <si>
    <t>Pilotage</t>
  </si>
  <si>
    <t>Jalon</t>
  </si>
  <si>
    <t>Date clé du projet, rattachée obligatoirement à une phase. Le code est attribué automatiquement.</t>
  </si>
  <si>
    <t>J08 · Go-Live Lot 1 · 01/04/2027</t>
  </si>
  <si>
    <t>12 Jalons</t>
  </si>
  <si>
    <t>Date prévue</t>
  </si>
  <si>
    <t>Date à laquelle le jalon est attendu aujourd’hui.</t>
  </si>
  <si>
    <t>01/04/2027</t>
  </si>
  <si>
    <t>Date de référence</t>
  </si>
  <si>
    <t>Date figée lors de la validation du planning (baseline). L’écart se mesure par rapport à elle. Vide = date prévue.</t>
  </si>
  <si>
    <t>Référence v5 : 01/04/2027</t>
  </si>
  <si>
    <t>Livrable</t>
  </si>
  <si>
    <t>Production attendue, rattachée à une sous-phase, avec un responsable et une échéance.</t>
  </si>
  <si>
    <t>Plan de bascule détaillé · 5.3</t>
  </si>
  <si>
    <t>13 Livrables</t>
  </si>
  <si>
    <t>Conventions du fichier</t>
  </si>
  <si>
    <t>Clé</t>
  </si>
  <si>
    <t>Colonne calculée qui identifie une ligne. C’est la valeur proposée dans les listes des autres onglets.</t>
  </si>
  <si>
    <t>« 5 · Deploy » pour la phase 5</t>
  </si>
  <si>
    <t>Liste ▾</t>
  </si>
  <si>
    <t>Menu déroulant alimenté par un autre onglet ou par une liste fixe. Seules ses valeurs sont acceptées.</t>
  </si>
  <si>
    <t>La colonne Phase des jalons propose les clés de l’onglet Phases</t>
  </si>
  <si>
    <t>Contrôle</t>
  </si>
  <si>
    <t>Colonne calculée qui vérifie la ligne : ✓ correct, ⚠ incohérence à corriger, ◔ avertissement.</t>
  </si>
  <si>
    <t>⚠ Sous-phase hors phase</t>
  </si>
  <si>
    <t>Champs obligatoires remplis ÷ champs obligatoires attendus. Une ligne est attendue dès qu’une de ses cellules est saisie ; un onglet vide attend au moins une ligne.</t>
  </si>
  <si>
    <t>Personnes : 10 lignes × 4 obligatoires = 40 attendus, 37 remplis → 93 %</t>
  </si>
  <si>
    <t>Sociétés ou entités qui travaillent sur le projet : client, cabinet AMOA, intégrateur, éditeur…</t>
  </si>
  <si>
    <t>↩  Complétude</t>
  </si>
  <si>
    <r>
      <rPr>
        <b/>
        <color rgb="FF3B7DD8"/>
        <sz val="8"/>
        <rFont val="Aptos"/>
      </rPr>
      <t xml:space="preserve">ORGANISATION  </t>
    </r>
    <r>
      <rPr>
        <b/>
        <color rgb="FF10233A"/>
        <sz val="9.5"/>
        <rFont val="Aptos"/>
      </rPr>
      <t xml:space="preserve">Étape 01    </t>
    </r>
    <r>
      <rPr>
        <color rgb="FF5C7280"/>
        <sz val="9.5"/>
        <rFont val="Aptos"/>
      </rPr>
      <t>Dépend de : —</t>
    </r>
  </si>
  <si>
    <t>Exemple : AMC Corp · Onepoint · Codilog</t>
  </si>
  <si>
    <t>OBLIGATOIRE</t>
  </si>
  <si>
    <t>FACULTATIF</t>
  </si>
  <si>
    <t>CALCULÉ</t>
  </si>
  <si>
    <t>CONTRÔLE</t>
  </si>
  <si>
    <t>Nom</t>
  </si>
  <si>
    <t>Description</t>
  </si>
  <si>
    <t>Rôles métier tenus sur le projet. Un rôle n’est pas une permission dans l’application.</t>
  </si>
  <si>
    <r>
      <rPr>
        <b/>
        <color rgb="FF3B7DD8"/>
        <sz val="8"/>
        <rFont val="Aptos"/>
      </rPr>
      <t xml:space="preserve">ORGANISATION  </t>
    </r>
    <r>
      <rPr>
        <b/>
        <color rgb="FF10233A"/>
        <sz val="9.5"/>
        <rFont val="Aptos"/>
      </rPr>
      <t xml:space="preserve">Étape 02    </t>
    </r>
    <r>
      <rPr>
        <color rgb="FF5C7280"/>
        <sz val="9.5"/>
        <rFont val="Aptos"/>
      </rPr>
      <t>Dépend de : —</t>
    </r>
  </si>
  <si>
    <t>Exemple : Responsable chantier · pilote un chantier, son planning et ses anomalies</t>
  </si>
  <si>
    <t>Libellé</t>
  </si>
  <si>
    <t>Affectations actives</t>
  </si>
  <si>
    <t>Toutes les personnes du projet, rattachées à leur équipe. Le nom complet sert de référence dans les autres onglets.</t>
  </si>
  <si>
    <r>
      <rPr>
        <b/>
        <color rgb="FF3B7DD8"/>
        <sz val="8"/>
        <rFont val="Aptos"/>
      </rPr>
      <t xml:space="preserve">ORGANISATION  </t>
    </r>
    <r>
      <rPr>
        <b/>
        <color rgb="FF10233A"/>
        <sz val="9.5"/>
        <rFont val="Aptos"/>
      </rPr>
      <t xml:space="preserve">Étape 03    </t>
    </r>
    <r>
      <rPr>
        <color rgb="FF5C7280"/>
        <sz val="9.5"/>
        <rFont val="Aptos"/>
      </rPr>
      <t>Dépend de : Équipes</t>
    </r>
  </si>
  <si>
    <t>Exemple : Karim Benali · karim.benali@amc.com · AMC Corp · Responsable IT ERP · Contributeur</t>
  </si>
  <si>
    <t>OBLIGATOIRE  ▾</t>
  </si>
  <si>
    <t>FACULTATIF  ▾</t>
  </si>
  <si>
    <t>Nom complet</t>
  </si>
  <si>
    <t>Email</t>
  </si>
  <si>
    <t>Fonction</t>
  </si>
  <si>
    <t>Actif</t>
  </si>
  <si>
    <t>Qui tient quel rôle, et depuis quand. Plusieurs rôles simultanés possibles ; l’historique est conservé.</t>
  </si>
  <si>
    <r>
      <rPr>
        <b/>
        <color rgb="FF3B7DD8"/>
        <sz val="8"/>
        <rFont val="Aptos"/>
      </rPr>
      <t xml:space="preserve">ORGANISATION  </t>
    </r>
    <r>
      <rPr>
        <b/>
        <color rgb="FF10233A"/>
        <sz val="9.5"/>
        <rFont val="Aptos"/>
      </rPr>
      <t xml:space="preserve">Étape 04    </t>
    </r>
    <r>
      <rPr>
        <color rgb="FF5C7280"/>
        <sz val="9.5"/>
        <rFont val="Aptos"/>
      </rPr>
      <t>Dépend de : Personnes, Rôles</t>
    </r>
  </si>
  <si>
    <t>Exemple : Karim Benali · Responsable migration · 01/09/2025 → fin vide = en cours</t>
  </si>
  <si>
    <t>Personne</t>
  </si>
  <si>
    <t>Rôle</t>
  </si>
  <si>
    <t>Début</t>
  </si>
  <si>
    <t>Fin</t>
  </si>
  <si>
    <t>Active</t>
  </si>
  <si>
    <t>Identité du client et du projet. Une seule valeur par champ.</t>
  </si>
  <si>
    <r>
      <rPr>
        <b/>
        <color rgb="FF1D8F86"/>
        <sz val="8"/>
        <rFont val="Aptos"/>
      </rPr>
      <t xml:space="preserve">STRUCTURE  </t>
    </r>
    <r>
      <rPr>
        <b/>
        <color rgb="FF10233A"/>
        <sz val="9.5"/>
        <rFont val="Aptos"/>
      </rPr>
      <t xml:space="preserve">Étape 05    </t>
    </r>
    <r>
      <rPr>
        <color rgb="FF5C7280"/>
        <sz val="9.5"/>
        <rFont val="Aptos"/>
      </rPr>
      <t>Dépend de : Équipes, Personnes</t>
    </r>
  </si>
  <si>
    <t>Exemple : AMC Corp · RISE · Implémentation Brand X + CRM · Europe/Paris</t>
  </si>
  <si>
    <t>Client</t>
  </si>
  <si>
    <t>Nom du client</t>
  </si>
  <si>
    <t>Secteur d’activité</t>
  </si>
  <si>
    <t>Pays</t>
  </si>
  <si>
    <t>Code projet</t>
  </si>
  <si>
    <t>Court et unique, ex. RISE</t>
  </si>
  <si>
    <t>Nom du projet</t>
  </si>
  <si>
    <t>Objectifs</t>
  </si>
  <si>
    <t>Deux ou trois phrases</t>
  </si>
  <si>
    <t>Éditeur de la solution</t>
  </si>
  <si>
    <t>Choisi parmi les équipes</t>
  </si>
  <si>
    <t>Intégrateur</t>
  </si>
  <si>
    <t>Date de démarrage</t>
  </si>
  <si>
    <t>Date de fin cible</t>
  </si>
  <si>
    <t>Fuseau horaire</t>
  </si>
  <si>
    <t>Directeur de programme</t>
  </si>
  <si>
    <t>Sponsor</t>
  </si>
  <si>
    <t>Vagues de déploiement du projet. Chaque lot a un périmètre et une période.</t>
  </si>
  <si>
    <r>
      <rPr>
        <b/>
        <color rgb="FF1D8F86"/>
        <sz val="8"/>
        <rFont val="Aptos"/>
      </rPr>
      <t xml:space="preserve">STRUCTURE  </t>
    </r>
    <r>
      <rPr>
        <b/>
        <color rgb="FF10233A"/>
        <sz val="9.5"/>
        <rFont val="Aptos"/>
      </rPr>
      <t xml:space="preserve">Étape 06    </t>
    </r>
    <r>
      <rPr>
        <color rgb="FF5C7280"/>
        <sz val="9.5"/>
        <rFont val="Aptos"/>
      </rPr>
      <t>Dépend de : Personnes</t>
    </r>
  </si>
  <si>
    <t>Exemple : Lot 1 · AMC Corp, Brand X et stores · 01/03/2024 → 30/06/2027</t>
  </si>
  <si>
    <t>N°</t>
  </si>
  <si>
    <t>Périmètre</t>
  </si>
  <si>
    <t>Responsable</t>
  </si>
  <si>
    <t>Grandes étapes de la méthode (Discover, Prepare, Explore…), numérotées dans l’ordre.</t>
  </si>
  <si>
    <r>
      <rPr>
        <b/>
        <color rgb="FF1D8F86"/>
        <sz val="8"/>
        <rFont val="Aptos"/>
      </rPr>
      <t xml:space="preserve">STRUCTURE  </t>
    </r>
    <r>
      <rPr>
        <b/>
        <color rgb="FF10233A"/>
        <sz val="9.5"/>
        <rFont val="Aptos"/>
      </rPr>
      <t xml:space="preserve">Étape 07    </t>
    </r>
    <r>
      <rPr>
        <color rgb="FF5C7280"/>
        <sz val="9.5"/>
        <rFont val="Aptos"/>
      </rPr>
      <t>Dépend de : Lots</t>
    </r>
  </si>
  <si>
    <t>Exemple : 5 · Deploy · Lot 1 · 01/02/2026 → 30/06/2027 · En cours</t>
  </si>
  <si>
    <t>Découpage de chaque phase. Le numéro reprend celui de la phase : 5.1, 5.2…</t>
  </si>
  <si>
    <r>
      <rPr>
        <b/>
        <color rgb="FF1D8F86"/>
        <sz val="8"/>
        <rFont val="Aptos"/>
      </rPr>
      <t xml:space="preserve">STRUCTURE  </t>
    </r>
    <r>
      <rPr>
        <b/>
        <color rgb="FF10233A"/>
        <sz val="9.5"/>
        <rFont val="Aptos"/>
      </rPr>
      <t xml:space="preserve">Étape 08    </t>
    </r>
    <r>
      <rPr>
        <color rgb="FF5C7280"/>
        <sz val="9.5"/>
        <rFont val="Aptos"/>
      </rPr>
      <t>Dépend de : Phases</t>
    </r>
  </si>
  <si>
    <t>Exemple : phase 5 · Deploy → 5.3 · Répétition générale · 01/09/2026 → 31/03/2027</t>
  </si>
  <si>
    <t>Domaines de travail transverses aux phases (Finance, Migration…). Un responsable par chantier.</t>
  </si>
  <si>
    <r>
      <rPr>
        <b/>
        <color rgb="FF1D8F86"/>
        <sz val="8"/>
        <rFont val="Aptos"/>
      </rPr>
      <t xml:space="preserve">STRUCTURE  </t>
    </r>
    <r>
      <rPr>
        <b/>
        <color rgb="FF10233A"/>
        <sz val="9.5"/>
        <rFont val="Aptos"/>
      </rPr>
      <t xml:space="preserve">Étape 09    </t>
    </r>
    <r>
      <rPr>
        <color rgb="FF5C7280"/>
        <sz val="9.5"/>
        <rFont val="Aptos"/>
      </rPr>
      <t>Dépend de : Personnes, Lots</t>
    </r>
  </si>
  <si>
    <t>Exemple : C5 · Migration des données · Karim Benali · Lot 1 · Actif</t>
  </si>
  <si>
    <t>Code</t>
  </si>
  <si>
    <t>Comités du projet. Le nom court et la couleur servent au calendrier des comités.</t>
  </si>
  <si>
    <r>
      <rPr>
        <b/>
        <color rgb="FF8A5CC4"/>
        <sz val="8"/>
        <rFont val="Aptos"/>
      </rPr>
      <t xml:space="preserve">GOUVERNANCE  </t>
    </r>
    <r>
      <rPr>
        <b/>
        <color rgb="FF10233A"/>
        <sz val="9.5"/>
        <rFont val="Aptos"/>
      </rPr>
      <t xml:space="preserve">Étape 10    </t>
    </r>
    <r>
      <rPr>
        <color rgb="FF5C7280"/>
        <sz val="9.5"/>
        <rFont val="Aptos"/>
      </rPr>
      <t>Dépend de : —</t>
    </r>
  </si>
  <si>
    <t>Exemple : Comité de pilotage · COPIL · Marine · Mensuelle · Stratégique</t>
  </si>
  <si>
    <t/>
  </si>
  <si>
    <t>Couleur</t>
  </si>
  <si>
    <t>Fréquence</t>
  </si>
  <si>
    <t>Niveau</t>
  </si>
  <si>
    <t>Rôle de l’instance</t>
  </si>
  <si>
    <t>Membres</t>
  </si>
  <si>
    <t>Une ligne par personne et par instance. Par défaut, les participants d’une séance sont les membres de l’instance.</t>
  </si>
  <si>
    <r>
      <rPr>
        <b/>
        <color rgb="FF8A5CC4"/>
        <sz val="8"/>
        <rFont val="Aptos"/>
      </rPr>
      <t xml:space="preserve">GOUVERNANCE  </t>
    </r>
    <r>
      <rPr>
        <b/>
        <color rgb="FF10233A"/>
        <sz val="9.5"/>
        <rFont val="Aptos"/>
      </rPr>
      <t xml:space="preserve">Étape 11    </t>
    </r>
    <r>
      <rPr>
        <color rgb="FF5C7280"/>
        <sz val="9.5"/>
        <rFont val="Aptos"/>
      </rPr>
      <t>Dépend de : Instances, Personnes</t>
    </r>
  </si>
  <si>
    <t>Exemple : Comité de pilotage · Philippe Aubert · Président</t>
  </si>
  <si>
    <t>Instance</t>
  </si>
  <si>
    <t>Rôle dans l’instance</t>
  </si>
  <si>
    <t>Dates clés du projet. Phase obligatoire ; sous-phase et chantier facultatifs. Date de référence vide = date prévue.</t>
  </si>
  <si>
    <r>
      <rPr>
        <b/>
        <color rgb="FFE39A2D"/>
        <sz val="8"/>
        <rFont val="Aptos"/>
      </rPr>
      <t xml:space="preserve">PILOTAGE  </t>
    </r>
    <r>
      <rPr>
        <b/>
        <color rgb="FF10233A"/>
        <sz val="9.5"/>
        <rFont val="Aptos"/>
      </rPr>
      <t xml:space="preserve">Étape 12    </t>
    </r>
    <r>
      <rPr>
        <color rgb="FF5C7280"/>
        <sz val="9.5"/>
        <rFont val="Aptos"/>
      </rPr>
      <t>Dépend de : Phases, Sous-phases, Chantiers, Lots, Personnes</t>
    </r>
  </si>
  <si>
    <t>Exemple : J08 · Go-Live Lot 1 · 5 · Deploy · 5.4 · Cutover / Go-live · Pilotage et transverse · 01/04/2027</t>
  </si>
  <si>
    <t>Productions attendues, rattachées à une sous-phase. Le chantier est facultatif.</t>
  </si>
  <si>
    <r>
      <rPr>
        <b/>
        <color rgb="FFE39A2D"/>
        <sz val="8"/>
        <rFont val="Aptos"/>
      </rPr>
      <t xml:space="preserve">PILOTAGE  </t>
    </r>
    <r>
      <rPr>
        <b/>
        <color rgb="FF10233A"/>
        <sz val="9.5"/>
        <rFont val="Aptos"/>
      </rPr>
      <t xml:space="preserve">Étape 13    </t>
    </r>
    <r>
      <rPr>
        <color rgb="FF5C7280"/>
        <sz val="9.5"/>
        <rFont val="Aptos"/>
      </rPr>
      <t>Dépend de : Sous-phases, Chantiers, Personnes</t>
    </r>
  </si>
  <si>
    <t>Exemple : Plan de bascule détaillé · 5.3 · Répétition générale · Antoine Mercier · échéance 12/03/2027</t>
  </si>
  <si>
    <t>Échéance</t>
  </si>
  <si>
    <t>L_StatutLot</t>
  </si>
  <si>
    <t>L_StatutPhase</t>
  </si>
  <si>
    <t>L_StatutChantier</t>
  </si>
  <si>
    <t>L_Permission</t>
  </si>
  <si>
    <t>L_OuiNon</t>
  </si>
  <si>
    <t>L_Frequence</t>
  </si>
  <si>
    <t>L_Niveau</t>
  </si>
  <si>
    <t>L_Couleur</t>
  </si>
  <si>
    <t>L_RoleInstance</t>
  </si>
  <si>
    <t>L_StatutProjet</t>
  </si>
  <si>
    <t>L_Fuseau</t>
  </si>
  <si>
    <t>Prévu</t>
  </si>
  <si>
    <t>Prévue</t>
  </si>
  <si>
    <t>Admin</t>
  </si>
  <si>
    <t>Oui</t>
  </si>
  <si>
    <t>Quotidienne</t>
  </si>
  <si>
    <t>Stratégique</t>
  </si>
  <si>
    <t>Marine</t>
  </si>
  <si>
    <t>Président</t>
  </si>
  <si>
    <t>Préparation</t>
  </si>
  <si>
    <t>Europe/Paris</t>
  </si>
  <si>
    <t>En cours</t>
  </si>
  <si>
    <t>Clos</t>
  </si>
  <si>
    <t>PMO</t>
  </si>
  <si>
    <t>Non</t>
  </si>
  <si>
    <t>Hebdomadaire</t>
  </si>
  <si>
    <t>Sarcelle</t>
  </si>
  <si>
    <t>Europe/London</t>
  </si>
  <si>
    <t>Terminé</t>
  </si>
  <si>
    <t>Terminée</t>
  </si>
  <si>
    <t>Chef de projet</t>
  </si>
  <si>
    <t>Bimensuelle</t>
  </si>
  <si>
    <t>Opérationnel</t>
  </si>
  <si>
    <t>Bleu</t>
  </si>
  <si>
    <t>Secrétaire</t>
  </si>
  <si>
    <t>America/New_York</t>
  </si>
  <si>
    <t>Contributeur</t>
  </si>
  <si>
    <t>Mensuelle</t>
  </si>
  <si>
    <t>Hors cycle</t>
  </si>
  <si>
    <t>Ambre</t>
  </si>
  <si>
    <t>Invité</t>
  </si>
  <si>
    <t>Asia/Singapore</t>
  </si>
  <si>
    <t>Lecteur</t>
  </si>
  <si>
    <t>Trimestrielle</t>
  </si>
  <si>
    <t>Rouge</t>
  </si>
  <si>
    <t>UTC</t>
  </si>
  <si>
    <t>Semestrielle</t>
  </si>
  <si>
    <t>Violet</t>
  </si>
  <si>
    <t>À la demande</t>
  </si>
  <si>
    <t>Olive</t>
  </si>
  <si>
    <t>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</si>
</sst>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 %"/>
    <numFmt numFmtId="165" formatCode="0 %&quot;  complété&quot;"/>
    <numFmt numFmtId="166" formatCode="dd/mm/yyyy"/>
  </numFmts>
  <fonts count="36" x14ac:knownFonts="1">
    <font>
      <color theme="1"/>
      <family val="2"/>
      <scheme val="minor"/>
      <sz val="11"/>
      <name val="Calibri"/>
    </font>
    <font>
      <b/>
      <color rgb="FF10233A"/>
      <sz val="22"/>
      <name val="Aptos"/>
    </font>
    <font>
      <color rgb="FF5C7280"/>
      <sz val="10.5"/>
      <name val="Aptos"/>
    </font>
    <font>
      <b/>
      <color rgb="FF1D8F86"/>
      <sz val="40"/>
      <name val="Aptos"/>
    </font>
    <font>
      <b/>
      <color rgb="FF10233A"/>
      <sz val="10.5"/>
      <name val="Aptos"/>
    </font>
    <font>
      <color rgb="FF5C7280"/>
      <sz val="10"/>
      <name val="Aptos"/>
    </font>
    <font>
      <b/>
      <color rgb="FF1D8F86"/>
      <sz val="11"/>
      <name val="Aptos"/>
    </font>
    <font>
      <color rgb="FF10233A"/>
      <sz val="10"/>
      <name val="Aptos"/>
    </font>
    <font>
      <b/>
      <color rgb="FFB26A12"/>
      <sz val="9"/>
      <name val="Aptos"/>
    </font>
    <font>
      <b/>
      <color rgb="FF10233A"/>
      <sz val="9.5"/>
      <name val="Aptos"/>
    </font>
    <font>
      <b/>
      <color rgb="FF3B7DD8"/>
      <sz val="8.5"/>
      <name val="Aptos"/>
    </font>
    <font>
      <b/>
      <color rgb="FF8A9AA6"/>
      <sz val="10"/>
      <name val="Aptos"/>
    </font>
    <font>
      <b/>
      <color rgb="FF10233A"/>
      <sz val="10"/>
      <name val="Aptos"/>
    </font>
    <font>
      <color rgb="FF8A9AA6"/>
      <sz val="9"/>
      <name val="Aptos"/>
    </font>
    <font>
      <color rgb="FF3B7DD8"/>
      <sz val="10"/>
      <name val="Consolas"/>
    </font>
    <font>
      <b/>
      <color rgb="FF1D8F86"/>
      <sz val="8.5"/>
      <name val="Aptos"/>
    </font>
    <font>
      <color rgb="FF1D8F86"/>
      <sz val="10"/>
      <name val="Consolas"/>
    </font>
    <font>
      <b/>
      <color rgb="FF8A5CC4"/>
      <sz val="8.5"/>
      <name val="Aptos"/>
    </font>
    <font>
      <color rgb="FF8A5CC4"/>
      <sz val="10"/>
      <name val="Consolas"/>
    </font>
    <font>
      <b/>
      <color rgb="FFE39A2D"/>
      <sz val="8.5"/>
      <name val="Aptos"/>
    </font>
    <font>
      <color rgb="FFE39A2D"/>
      <sz val="10"/>
      <name val="Consolas"/>
    </font>
    <font>
      <i/>
      <color rgb="FF8A9AA6"/>
      <sz val="9"/>
      <name val="Aptos"/>
    </font>
    <font>
      <b/>
      <color rgb="FF3B7DD8"/>
      <sz val="11"/>
      <name val="Aptos"/>
    </font>
    <font>
      <i/>
      <color rgb="FF5C7280"/>
      <sz val="10"/>
      <name val="Aptos"/>
    </font>
    <font>
      <b/>
      <color rgb="FF1D8F86"/>
      <sz val="9.5"/>
      <name val="Aptos"/>
    </font>
    <font>
      <b/>
      <color rgb="FF8A5CC4"/>
      <sz val="11"/>
      <name val="Aptos"/>
    </font>
    <font>
      <b/>
      <color rgb="FFE39A2D"/>
      <sz val="11"/>
      <name val="Aptos"/>
    </font>
    <font>
      <b/>
      <color rgb="FF1D8F86"/>
      <sz val="12"/>
      <name val="Aptos"/>
    </font>
    <font>
      <i/>
      <color rgb="FF8A9AA6"/>
      <sz val="9.5"/>
      <name val="Aptos"/>
    </font>
    <font>
      <b/>
      <color rgb="FFB26A12"/>
      <sz val="7.5"/>
      <name val="Aptos"/>
    </font>
    <font>
      <b/>
      <color rgb="FF8A9AA6"/>
      <sz val="7.5"/>
      <name val="Aptos"/>
    </font>
    <font>
      <b/>
      <color rgb="FF1D8F86"/>
      <sz val="7.5"/>
      <name val="Aptos"/>
    </font>
    <font>
      <b/>
      <color rgb="FF0F5F5A"/>
      <sz val="10"/>
      <name val="Aptos"/>
    </font>
    <font>
      <color rgb="FF0F5F5A"/>
      <sz val="10"/>
      <name val="Aptos"/>
    </font>
    <font>
      <color rgb="FF1D8F86"/>
      <sz val="10"/>
      <name val="Aptos"/>
    </font>
    <font>
      <b/>
      <color rgb="FF10233A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DF1E2"/>
      </patternFill>
    </fill>
    <fill>
      <patternFill patternType="solid">
        <fgColor rgb="FFF3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0233A"/>
      </bottom>
      <diagonal/>
    </border>
    <border>
      <left/>
      <right/>
      <top/>
      <bottom style="hair">
        <color rgb="FFE3ECEA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/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 indent="1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10" fillId="0" borderId="0" xfId="0" applyFont="1" applyAlignment="1">
      <alignment vertical="bottom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0" fontId="15" fillId="0" borderId="0" xfId="0" applyFont="1" applyAlignment="1">
      <alignment vertical="bottom"/>
    </xf>
    <xf numFmtId="0" fontId="16" fillId="0" borderId="2" xfId="0" applyFont="1" applyBorder="1" applyAlignment="1">
      <alignment vertical="center"/>
    </xf>
    <xf numFmtId="0" fontId="17" fillId="0" borderId="0" xfId="0" applyFont="1" applyAlignment="1">
      <alignment vertical="bottom"/>
    </xf>
    <xf numFmtId="0" fontId="18" fillId="0" borderId="2" xfId="0" applyFont="1" applyBorder="1" applyAlignment="1">
      <alignment vertical="center"/>
    </xf>
    <xf numFmtId="0" fontId="19" fillId="0" borderId="0" xfId="0" applyFont="1" applyAlignment="1">
      <alignment vertical="bottom"/>
    </xf>
    <xf numFmtId="0" fontId="20" fillId="0" borderId="2" xfId="0" applyFont="1" applyBorder="1" applyAlignment="1">
      <alignment vertical="center"/>
    </xf>
    <xf numFmtId="0" fontId="21" fillId="0" borderId="0" xfId="0" applyFont="1"/>
    <xf numFmtId="0" fontId="9" fillId="0" borderId="1" xfId="0" applyFont="1" applyBorder="1" applyAlignment="1">
      <alignment vertical="center"/>
    </xf>
    <xf numFmtId="0" fontId="22" fillId="0" borderId="0" xfId="0" applyFont="1" applyAlignment="1">
      <alignment vertical="bottom"/>
    </xf>
    <xf numFmtId="0" fontId="12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24" fillId="0" borderId="2" xfId="0" applyFont="1" applyBorder="1" applyAlignment="1">
      <alignment vertical="top" wrapText="1"/>
    </xf>
    <xf numFmtId="0" fontId="6" fillId="0" borderId="0" xfId="0" applyFont="1" applyAlignment="1">
      <alignment vertical="bottom"/>
    </xf>
    <xf numFmtId="0" fontId="25" fillId="0" borderId="0" xfId="0" applyFont="1" applyAlignment="1">
      <alignment vertical="bottom"/>
    </xf>
    <xf numFmtId="0" fontId="26" fillId="0" borderId="0" xfId="0" applyFont="1" applyAlignment="1">
      <alignment vertical="bottom"/>
    </xf>
    <xf numFmtId="165" fontId="27" fillId="0" borderId="0" xfId="0" applyNumberFormat="1" applyFont="1" applyAlignment="1">
      <alignment horizontal="right" vertical="bottom"/>
    </xf>
    <xf numFmtId="0" fontId="24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 applyAlignment="1">
      <alignment vertical="bottom"/>
    </xf>
    <xf numFmtId="0" fontId="30" fillId="0" borderId="0" xfId="0" applyFont="1" applyAlignment="1">
      <alignment vertical="bottom"/>
    </xf>
    <xf numFmtId="0" fontId="31" fillId="0" borderId="0" xfId="0" applyFont="1" applyAlignment="1">
      <alignment vertical="bottom"/>
    </xf>
    <xf numFmtId="0" fontId="12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7" fillId="0" borderId="2" xfId="0" applyFont="1" applyBorder="1" applyAlignment="1" applyProtection="1">
      <alignment vertical="center"/>
      <protection locked="0"/>
    </xf>
    <xf numFmtId="0" fontId="33" fillId="3" borderId="2" xfId="0" applyFont="1" applyFill="1" applyBorder="1" applyAlignment="1" applyProtection="1">
      <alignment vertical="center"/>
    </xf>
    <xf numFmtId="0" fontId="34" fillId="3" borderId="2" xfId="0" applyFont="1" applyFill="1" applyBorder="1" applyAlignment="1" applyProtection="1">
      <alignment vertical="center"/>
    </xf>
    <xf numFmtId="166" fontId="7" fillId="0" borderId="2" xfId="0" applyNumberFormat="1" applyFont="1" applyBorder="1" applyAlignment="1" applyProtection="1">
      <alignment horizontal="left" vertical="center"/>
      <protection locked="0"/>
    </xf>
    <xf numFmtId="0" fontId="35" fillId="0" borderId="1" xfId="0" applyFont="1" applyBorder="1" applyAlignment="1">
      <alignment vertical="bottom"/>
    </xf>
    <xf numFmtId="0" fontId="0" fillId="0" borderId="1" xfId="0" applyBorder="1"/>
    <xf numFmtId="0" fontId="29" fillId="0" borderId="2" xfId="0" applyFont="1" applyBorder="1" applyAlignment="1">
      <alignment vertical="center"/>
    </xf>
    <xf numFmtId="0" fontId="12" fillId="0" borderId="2" xfId="0" applyFont="1" applyBorder="1" applyAlignment="1" applyProtection="1">
      <alignment horizontal="left" vertical="center"/>
      <protection locked="0"/>
    </xf>
    <xf numFmtId="0" fontId="30" fillId="0" borderId="2" xfId="0" applyFont="1" applyBorder="1" applyAlignment="1">
      <alignment vertical="center"/>
    </xf>
    <xf numFmtId="0" fontId="21" fillId="0" borderId="0" xfId="0" applyFont="1" applyAlignment="1">
      <alignment vertical="center"/>
    </xf>
    <xf numFmtId="166" fontId="12" fillId="0" borderId="2" xfId="0" applyNumberFormat="1" applyFont="1" applyBorder="1" applyAlignment="1" applyProtection="1">
      <alignment horizontal="left" vertical="center"/>
      <protection locked="0"/>
    </xf>
    <xf numFmtId="0" fontId="34" fillId="0" borderId="0" xfId="0" applyFont="1"/>
    <xf numFmtId="0" fontId="7" fillId="0" borderId="2" xfId="0" applyFont="1" applyBorder="1" applyAlignment="1" applyProtection="1">
      <alignment horizontal="left" vertical="center"/>
      <protection locked="0"/>
    </xf>
    <xf numFmtId="0" fontId="33" fillId="4" borderId="2" xfId="0" applyFont="1" applyFill="1" applyBorder="1" applyAlignment="1" applyProtection="1">
      <alignment vertical="center"/>
    </xf>
  </cellXfs>
  <cellStyles count="1">
    <cellStyle name="Normal" xfId="0" builtinId="0"/>
  </cellStyles>
  <dxfs count="76">
    <dxf>
      <font>
        <b/>
        <color rgb="FF1D8F86"/>
      </font>
    </dxf>
    <dxf>
      <font>
        <b/>
        <color rgb="FFB26A12"/>
      </font>
    </dxf>
    <dxf>
      <font>
        <color rgb="FF8A9AA6"/>
      </font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10233A"/>
        </patternFill>
      </fill>
    </dxf>
    <dxf>
      <fill>
        <patternFill patternType="solid">
          <bgColor rgb="FF1D8F86"/>
        </patternFill>
      </fill>
    </dxf>
    <dxf>
      <fill>
        <patternFill patternType="solid">
          <bgColor rgb="FF3B7DD8"/>
        </patternFill>
      </fill>
    </dxf>
    <dxf>
      <fill>
        <patternFill patternType="solid">
          <bgColor rgb="FFE39A2D"/>
        </patternFill>
      </fill>
    </dxf>
    <dxf>
      <fill>
        <patternFill patternType="solid">
          <bgColor rgb="FFC2473B"/>
        </patternFill>
      </fill>
    </dxf>
    <dxf>
      <fill>
        <patternFill patternType="solid">
          <bgColor rgb="FFB25FC4"/>
        </patternFill>
      </fill>
    </dxf>
    <dxf>
      <fill>
        <patternFill patternType="solid">
          <bgColor rgb="FF6B8E23"/>
        </patternFill>
      </fill>
    </dxf>
    <dxf>
      <fill>
        <patternFill patternType="solid">
          <bgColor rgb="FF8A9AA6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ill>
        <patternFill patternType="solid">
          <bgColor rgb="FFFDF1E2"/>
        </patternFill>
      </fill>
    </dxf>
    <dxf>
      <font>
        <b/>
        <color rgb="FFC2473B"/>
      </font>
    </dxf>
    <dxf>
      <font>
        <b/>
        <color rgb="FFB26A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01 &#201;quipes&apos;!A1" TargetMode="External"/><Relationship Id="rId2" Type="http://schemas.openxmlformats.org/officeDocument/2006/relationships/hyperlink" Target="#&apos;02 R&#244;les&apos;!A1" TargetMode="External"/><Relationship Id="rId3" Type="http://schemas.openxmlformats.org/officeDocument/2006/relationships/hyperlink" Target="#&apos;03 Personnes&apos;!A1" TargetMode="External"/><Relationship Id="rId4" Type="http://schemas.openxmlformats.org/officeDocument/2006/relationships/hyperlink" Target="#&apos;04 Affectations&apos;!A1" TargetMode="External"/><Relationship Id="rId5" Type="http://schemas.openxmlformats.org/officeDocument/2006/relationships/hyperlink" Target="#&apos;05 Projet&apos;!A1" TargetMode="External"/><Relationship Id="rId6" Type="http://schemas.openxmlformats.org/officeDocument/2006/relationships/hyperlink" Target="#&apos;06 Lots&apos;!A1" TargetMode="External"/><Relationship Id="rId7" Type="http://schemas.openxmlformats.org/officeDocument/2006/relationships/hyperlink" Target="#&apos;07 Phases&apos;!A1" TargetMode="External"/><Relationship Id="rId8" Type="http://schemas.openxmlformats.org/officeDocument/2006/relationships/hyperlink" Target="#&apos;08 Sous-phases&apos;!A1" TargetMode="External"/><Relationship Id="rId9" Type="http://schemas.openxmlformats.org/officeDocument/2006/relationships/hyperlink" Target="#&apos;09 Chantiers&apos;!A1" TargetMode="External"/><Relationship Id="rId10" Type="http://schemas.openxmlformats.org/officeDocument/2006/relationships/hyperlink" Target="#&apos;10 Instances&apos;!A1" TargetMode="External"/><Relationship Id="rId11" Type="http://schemas.openxmlformats.org/officeDocument/2006/relationships/hyperlink" Target="#&apos;11 Membres&apos;!A1" TargetMode="External"/><Relationship Id="rId12" Type="http://schemas.openxmlformats.org/officeDocument/2006/relationships/hyperlink" Target="#&apos;12 Jalons&apos;!A1" TargetMode="External"/><Relationship Id="rId13" Type="http://schemas.openxmlformats.org/officeDocument/2006/relationships/hyperlink" Target="#&apos;13 Livrabl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01 &#201;quipes&apos;!A1" TargetMode="External"/><Relationship Id="rId2" Type="http://schemas.openxmlformats.org/officeDocument/2006/relationships/hyperlink" Target="#&apos;02 R&#244;les&apos;!A1" TargetMode="External"/><Relationship Id="rId3" Type="http://schemas.openxmlformats.org/officeDocument/2006/relationships/hyperlink" Target="#&apos;03 Personnes&apos;!A1" TargetMode="External"/><Relationship Id="rId4" Type="http://schemas.openxmlformats.org/officeDocument/2006/relationships/hyperlink" Target="#&apos;04 Affectations&apos;!A1" TargetMode="External"/><Relationship Id="rId5" Type="http://schemas.openxmlformats.org/officeDocument/2006/relationships/hyperlink" Target="#&apos;Compl&#233;tude&apos;!A1" TargetMode="External"/><Relationship Id="rId6" Type="http://schemas.openxmlformats.org/officeDocument/2006/relationships/hyperlink" Target="#&apos;06 Lots&apos;!A1" TargetMode="External"/><Relationship Id="rId7" Type="http://schemas.openxmlformats.org/officeDocument/2006/relationships/hyperlink" Target="#&apos;07 Phases&apos;!A1" TargetMode="External"/><Relationship Id="rId8" Type="http://schemas.openxmlformats.org/officeDocument/2006/relationships/hyperlink" Target="#&apos;08 Sous-phases&apos;!A1" TargetMode="External"/><Relationship Id="rId9" Type="http://schemas.openxmlformats.org/officeDocument/2006/relationships/hyperlink" Target="#&apos;09 Chantiers&apos;!A1" TargetMode="External"/><Relationship Id="rId10" Type="http://schemas.openxmlformats.org/officeDocument/2006/relationships/hyperlink" Target="#&apos;10 Instances&apos;!A1" TargetMode="External"/><Relationship Id="rId11" Type="http://schemas.openxmlformats.org/officeDocument/2006/relationships/hyperlink" Target="#&apos;10 Instances&apos;!A1" TargetMode="External"/><Relationship Id="rId12" Type="http://schemas.openxmlformats.org/officeDocument/2006/relationships/hyperlink" Target="#&apos;11 Membres&apos;!A1" TargetMode="External"/><Relationship Id="rId13" Type="http://schemas.openxmlformats.org/officeDocument/2006/relationships/hyperlink" Target="#&apos;12 Jalons&apos;!A1" TargetMode="External"/><Relationship Id="rId14" Type="http://schemas.openxmlformats.org/officeDocument/2006/relationships/hyperlink" Target="#&apos;12 Jalons&apos;!A1" TargetMode="External"/><Relationship Id="rId15" Type="http://schemas.openxmlformats.org/officeDocument/2006/relationships/hyperlink" Target="#&apos;12 Jalons&apos;!A1" TargetMode="External"/><Relationship Id="rId16" Type="http://schemas.openxmlformats.org/officeDocument/2006/relationships/hyperlink" Target="#&apos;13 Livrables&apos;!A1" TargetMode="External"/><Relationship Id="rId17" Type="http://schemas.openxmlformats.org/officeDocument/2006/relationships/hyperlink" Target="#&apos;07 Phases&apos;!A1" TargetMode="External"/><Relationship Id="rId18" Type="http://schemas.openxmlformats.org/officeDocument/2006/relationships/hyperlink" Target="#&apos;12 Jalons&apos;!A1" TargetMode="External"/><Relationship Id="rId19" Type="http://schemas.openxmlformats.org/officeDocument/2006/relationships/hyperlink" Target="#&apos;12 Jalons&apos;!A1" TargetMode="External"/><Relationship Id="rId20" Type="http://schemas.openxmlformats.org/officeDocument/2006/relationships/hyperlink" Target="#&apos;Compl&#233;tude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Compl&#233;tude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233A"/>
    <pageSetUpPr fitToPage="1"/>
  </sheetPr>
  <dimension ref="B1:L3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7" customWidth="1"/>
    <col min="3" max="3" width="26" customWidth="1"/>
    <col min="4" max="4" width="34" customWidth="1"/>
    <col min="5" max="5" width="30" customWidth="1"/>
    <col min="7" max="7" width="21" customWidth="1"/>
    <col min="8" max="8" width="15" customWidth="1"/>
    <col min="9" max="9" width="8" customWidth="1"/>
    <col min="10" max="10" width="13" customWidth="1"/>
    <col min="11" max="12" width="10" hidden="1" customWidth="1"/>
  </cols>
  <sheetData>
    <row r="1" ht="12" customHeight="1" x14ac:dyDescent="0.25"/>
    <row r="2" ht="34" customHeight="1" spans="2:2" x14ac:dyDescent="0.25">
      <c r="B2" s="1" t="s">
        <v>0</v>
      </c>
    </row>
    <row r="3" ht="18" customHeight="1" spans="2:2" x14ac:dyDescent="0.25">
      <c r="B3" s="2" t="s">
        <v>1</v>
      </c>
    </row>
    <row r="4" ht="14" customHeight="1" x14ac:dyDescent="0.25"/>
    <row r="5" ht="30" customHeight="1" spans="2:4" x14ac:dyDescent="0.25">
      <c r="B5" s="3">
        <f>IF(SUM(L17:L33)=0,0,SUM(K17:K33)/SUM(L17:L33))</f>
      </c>
      <c r="C5" s="3"/>
      <c r="D5" s="4">
        <f>"complétude globale  ·  "&amp;SUM(K17:K33)&amp;" / "&amp;SUM(L17:L33)&amp;" champs obligatoires"</f>
      </c>
    </row>
    <row r="6" ht="30" customHeight="1" spans="2:4" x14ac:dyDescent="0.25">
      <c r="B6" s="3"/>
      <c r="C6" s="3"/>
      <c r="D6" s="5">
        <f>COUNTIF(J17:J33,"Complet")&amp;" onglets complets sur 13  ·  "&amp;COUNTIF(J17:J33,"À démarrer")&amp;" à démarrer"</f>
      </c>
    </row>
    <row r="7" ht="14" customHeight="1" x14ac:dyDescent="0.25"/>
    <row r="8" ht="20" customHeight="1" spans="2:10" x14ac:dyDescent="0.25">
      <c r="B8" s="6" t="s">
        <v>2</v>
      </c>
      <c r="C8" s="7" t="s">
        <v>3</v>
      </c>
      <c r="D8" s="7"/>
      <c r="E8" s="7"/>
      <c r="F8" s="7"/>
      <c r="G8" s="7"/>
      <c r="H8" s="7"/>
      <c r="I8" s="7"/>
      <c r="J8" s="7"/>
    </row>
    <row r="9" ht="20" customHeight="1" spans="2:10" x14ac:dyDescent="0.25">
      <c r="B9" s="6" t="s">
        <v>4</v>
      </c>
      <c r="C9" s="7" t="s">
        <v>5</v>
      </c>
      <c r="D9" s="7"/>
      <c r="E9" s="7"/>
      <c r="F9" s="7"/>
      <c r="G9" s="7"/>
      <c r="H9" s="7"/>
      <c r="I9" s="7"/>
      <c r="J9" s="7"/>
    </row>
    <row r="10" ht="20" customHeight="1" spans="2:10" x14ac:dyDescent="0.25">
      <c r="B10" s="6" t="s">
        <v>6</v>
      </c>
      <c r="C10" s="7" t="s">
        <v>7</v>
      </c>
      <c r="D10" s="7"/>
      <c r="E10" s="7"/>
      <c r="F10" s="7"/>
      <c r="G10" s="7"/>
      <c r="H10" s="7"/>
      <c r="I10" s="7"/>
      <c r="J10" s="7"/>
    </row>
    <row r="11" ht="10" customHeight="1" x14ac:dyDescent="0.25"/>
    <row r="12" ht="18" customHeight="1" spans="3:10" x14ac:dyDescent="0.25">
      <c r="C12" t="s">
        <v>8</v>
      </c>
      <c r="D12"/>
      <c r="E12"/>
      <c r="F12"/>
      <c r="G12"/>
      <c r="H12"/>
      <c r="I12"/>
      <c r="J12"/>
    </row>
    <row r="13" ht="8" customHeight="1" x14ac:dyDescent="0.25"/>
    <row r="14" ht="20" customHeight="1" spans="3:4" x14ac:dyDescent="0.25">
      <c r="C14" s="8" t="s">
        <v>9</v>
      </c>
      <c r="D14" s="9" t="s">
        <v>10</v>
      </c>
    </row>
    <row r="15" ht="12" customHeight="1" x14ac:dyDescent="0.25"/>
    <row r="16" ht="24" customHeight="1" spans="2:10" x14ac:dyDescent="0.25">
      <c r="B16" s="10" t="s">
        <v>11</v>
      </c>
      <c r="C16" s="10" t="s">
        <v>12</v>
      </c>
      <c r="D16" s="10" t="s">
        <v>13</v>
      </c>
      <c r="E16" s="10" t="s">
        <v>14</v>
      </c>
      <c r="F16" s="11" t="s">
        <v>15</v>
      </c>
      <c r="G16" s="11" t="s">
        <v>16</v>
      </c>
      <c r="H16" s="10" t="s">
        <v>17</v>
      </c>
      <c r="I16" s="11" t="s">
        <v>18</v>
      </c>
      <c r="J16" s="10" t="s">
        <v>19</v>
      </c>
    </row>
    <row r="17" ht="26" customHeight="1" spans="3:3" x14ac:dyDescent="0.25">
      <c r="C17" s="12" t="s">
        <v>20</v>
      </c>
    </row>
    <row r="18" ht="26" customHeight="1" spans="2:12" x14ac:dyDescent="0.25">
      <c r="B18" s="13" t="s">
        <v>21</v>
      </c>
      <c r="C18" s="14" t="s">
        <v>22</v>
      </c>
      <c r="D18" s="15" t="s">
        <v>23</v>
      </c>
      <c r="E18" s="16" t="s">
        <v>24</v>
      </c>
      <c r="F18" s="17">
        <f>SUMPRODUCT(((('01 Équipes'!$B$9:$B$38&lt;&gt;"")+('01 Équipes'!$C$9:$C$38&lt;&gt;""))&gt;0)*1)</f>
      </c>
      <c r="G18" s="18">
        <f>K18&amp;" / "&amp;L18</f>
      </c>
      <c r="H18" s="19">
        <f>REPT("━",ROUND(I18*12,0))</f>
      </c>
      <c r="I18" s="20">
        <f>K18/L18</f>
      </c>
      <c r="J18" s="14">
        <f>IF(I18&gt;=1,"Complet",IF(K18=0,"À démarrer","En cours"))</f>
      </c>
      <c r="K18" s="21">
        <f>SUMPRODUCT(((('01 Équipes'!$B$9:$B$38&lt;&gt;"")+('01 Équipes'!$C$9:$C$38&lt;&gt;""))&gt;0)*('01 Équipes'!$B$9:$B$38&lt;&gt;""))</f>
      </c>
      <c r="L18" s="21">
        <f>MAX(1,F18)*1</f>
      </c>
    </row>
    <row r="19" ht="26" customHeight="1" spans="2:12" x14ac:dyDescent="0.25">
      <c r="B19" s="13" t="s">
        <v>25</v>
      </c>
      <c r="C19" s="14" t="s">
        <v>26</v>
      </c>
      <c r="D19" s="15" t="s">
        <v>27</v>
      </c>
      <c r="E19" s="16" t="s">
        <v>24</v>
      </c>
      <c r="F19" s="17">
        <f>SUMPRODUCT(((('02 Rôles'!$B$9:$B$48&lt;&gt;"")+('02 Rôles'!$C$9:$C$48&lt;&gt;""))&gt;0)*1)</f>
      </c>
      <c r="G19" s="18">
        <f>K19&amp;" / "&amp;L19</f>
      </c>
      <c r="H19" s="19">
        <f>REPT("━",ROUND(I19*12,0))</f>
      </c>
      <c r="I19" s="20">
        <f>K19/L19</f>
      </c>
      <c r="J19" s="14">
        <f>IF(I19&gt;=1,"Complet",IF(K19=0,"À démarrer","En cours"))</f>
      </c>
      <c r="K19" s="21">
        <f>SUMPRODUCT(((('02 Rôles'!$B$9:$B$48&lt;&gt;"")+('02 Rôles'!$C$9:$C$48&lt;&gt;""))&gt;0)*('02 Rôles'!$B$9:$B$48&lt;&gt;""))</f>
      </c>
      <c r="L19" s="21">
        <f>MAX(1,F19)*1</f>
      </c>
    </row>
    <row r="20" ht="26" customHeight="1" spans="2:12" x14ac:dyDescent="0.25">
      <c r="B20" s="13" t="s">
        <v>28</v>
      </c>
      <c r="C20" s="14" t="s">
        <v>29</v>
      </c>
      <c r="D20" s="15" t="s">
        <v>30</v>
      </c>
      <c r="E20" s="16" t="s">
        <v>22</v>
      </c>
      <c r="F20" s="17">
        <f>SUMPRODUCT(((('03 Personnes'!$B$9:$B$158&lt;&gt;"")+('03 Personnes'!$C$9:$C$158&lt;&gt;"")+('03 Personnes'!$D$9:$D$158&lt;&gt;"")+('03 Personnes'!$E$9:$E$158&lt;&gt;"")+('03 Personnes'!$F$9:$F$158&lt;&gt;"")+('03 Personnes'!$G$9:$G$158&lt;&gt;""))&gt;0)*1)</f>
      </c>
      <c r="G20" s="18">
        <f>K20&amp;" / "&amp;L20</f>
      </c>
      <c r="H20" s="19">
        <f>REPT("━",ROUND(I20*12,0))</f>
      </c>
      <c r="I20" s="20">
        <f>K20/L20</f>
      </c>
      <c r="J20" s="14">
        <f>IF(I20&gt;=1,"Complet",IF(K20=0,"À démarrer","En cours"))</f>
      </c>
      <c r="K20" s="21">
        <f>SUMPRODUCT(((('03 Personnes'!$B$9:$B$158&lt;&gt;"")+('03 Personnes'!$C$9:$C$158&lt;&gt;"")+('03 Personnes'!$D$9:$D$158&lt;&gt;"")+('03 Personnes'!$E$9:$E$158&lt;&gt;"")+('03 Personnes'!$F$9:$F$158&lt;&gt;"")+('03 Personnes'!$G$9:$G$158&lt;&gt;""))&gt;0)*('03 Personnes'!$B$9:$B$158&lt;&gt;""))+SUMPRODUCT(((('03 Personnes'!$B$9:$B$158&lt;&gt;"")+('03 Personnes'!$C$9:$C$158&lt;&gt;"")+('03 Personnes'!$D$9:$D$158&lt;&gt;"")+('03 Personnes'!$E$9:$E$158&lt;&gt;"")+('03 Personnes'!$F$9:$F$158&lt;&gt;"")+('03 Personnes'!$G$9:$G$158&lt;&gt;""))&gt;0)*('03 Personnes'!$C$9:$C$158&lt;&gt;""))+SUMPRODUCT(((('03 Personnes'!$B$9:$B$158&lt;&gt;"")+('03 Personnes'!$C$9:$C$158&lt;&gt;"")+('03 Personnes'!$D$9:$D$158&lt;&gt;"")+('03 Personnes'!$E$9:$E$158&lt;&gt;"")+('03 Personnes'!$F$9:$F$158&lt;&gt;"")+('03 Personnes'!$G$9:$G$158&lt;&gt;""))&gt;0)*('03 Personnes'!$D$9:$D$158&lt;&gt;""))+SUMPRODUCT(((('03 Personnes'!$B$9:$B$158&lt;&gt;"")+('03 Personnes'!$C$9:$C$158&lt;&gt;"")+('03 Personnes'!$D$9:$D$158&lt;&gt;"")+('03 Personnes'!$E$9:$E$158&lt;&gt;"")+('03 Personnes'!$F$9:$F$158&lt;&gt;"")+('03 Personnes'!$G$9:$G$158&lt;&gt;""))&gt;0)*('03 Personnes'!$F$9:$F$158&lt;&gt;""))</f>
      </c>
      <c r="L20" s="21">
        <f>MAX(1,F20)*4</f>
      </c>
    </row>
    <row r="21" ht="26" customHeight="1" spans="2:12" x14ac:dyDescent="0.25">
      <c r="B21" s="13" t="s">
        <v>31</v>
      </c>
      <c r="C21" s="14" t="s">
        <v>32</v>
      </c>
      <c r="D21" s="15" t="s">
        <v>33</v>
      </c>
      <c r="E21" s="16" t="s">
        <v>34</v>
      </c>
      <c r="F21" s="17">
        <f>SUMPRODUCT(((('04 Affectations'!$B$9:$B$208&lt;&gt;"")+('04 Affectations'!$C$9:$C$208&lt;&gt;"")+('04 Affectations'!$E$9:$E$208&lt;&gt;"")+('04 Affectations'!$F$9:$F$208&lt;&gt;""))&gt;0)*1)</f>
      </c>
      <c r="G21" s="18">
        <f>K21&amp;" / "&amp;L21</f>
      </c>
      <c r="H21" s="19">
        <f>REPT("━",ROUND(I21*12,0))</f>
      </c>
      <c r="I21" s="20">
        <f>K21/L21</f>
      </c>
      <c r="J21" s="14">
        <f>IF(I21&gt;=1,"Complet",IF(K21=0,"À démarrer","En cours"))</f>
      </c>
      <c r="K21" s="21">
        <f>SUMPRODUCT(((('04 Affectations'!$B$9:$B$208&lt;&gt;"")+('04 Affectations'!$C$9:$C$208&lt;&gt;"")+('04 Affectations'!$E$9:$E$208&lt;&gt;"")+('04 Affectations'!$F$9:$F$208&lt;&gt;""))&gt;0)*('04 Affectations'!$B$9:$B$208&lt;&gt;""))+SUMPRODUCT(((('04 Affectations'!$B$9:$B$208&lt;&gt;"")+('04 Affectations'!$C$9:$C$208&lt;&gt;"")+('04 Affectations'!$E$9:$E$208&lt;&gt;"")+('04 Affectations'!$F$9:$F$208&lt;&gt;""))&gt;0)*('04 Affectations'!$C$9:$C$208&lt;&gt;""))+SUMPRODUCT(((('04 Affectations'!$B$9:$B$208&lt;&gt;"")+('04 Affectations'!$C$9:$C$208&lt;&gt;"")+('04 Affectations'!$E$9:$E$208&lt;&gt;"")+('04 Affectations'!$F$9:$F$208&lt;&gt;""))&gt;0)*('04 Affectations'!$E$9:$E$208&lt;&gt;""))</f>
      </c>
      <c r="L21" s="21">
        <f>MAX(1,F21)*3</f>
      </c>
    </row>
    <row r="22" ht="26" customHeight="1" spans="3:3" x14ac:dyDescent="0.25">
      <c r="C22" s="22" t="s">
        <v>35</v>
      </c>
    </row>
    <row r="23" ht="26" customHeight="1" spans="2:12" x14ac:dyDescent="0.25">
      <c r="B23" s="13" t="s">
        <v>36</v>
      </c>
      <c r="C23" s="14" t="s">
        <v>37</v>
      </c>
      <c r="D23" s="15" t="s">
        <v>38</v>
      </c>
      <c r="E23" s="16" t="s">
        <v>39</v>
      </c>
      <c r="F23" s="17" t="s">
        <v>24</v>
      </c>
      <c r="G23" s="18">
        <f>K23&amp;" / "&amp;L23</f>
      </c>
      <c r="H23" s="23">
        <f>REPT("━",ROUND(I23*12,0))</f>
      </c>
      <c r="I23" s="20">
        <f>K23/L23</f>
      </c>
      <c r="J23" s="14">
        <f>IF(I23&gt;=1,"Complet",IF(K23=0,"À démarrer","En cours"))</f>
      </c>
      <c r="K23" s="21">
        <f>('05 Projet'!D8&lt;&gt;"")+('05 Projet'!D10&lt;&gt;"")+('05 Projet'!D12&lt;&gt;"")+('05 Projet'!D13&lt;&gt;"")+('05 Projet'!D17&lt;&gt;"")+('05 Projet'!D18&lt;&gt;"")+('05 Projet'!D19&lt;&gt;"")+('05 Projet'!D21&lt;&gt;"")</f>
      </c>
      <c r="L23" s="21">
        <f>8</f>
      </c>
    </row>
    <row r="24" ht="26" customHeight="1" spans="2:12" x14ac:dyDescent="0.25">
      <c r="B24" s="13" t="s">
        <v>40</v>
      </c>
      <c r="C24" s="14" t="s">
        <v>41</v>
      </c>
      <c r="D24" s="15" t="s">
        <v>42</v>
      </c>
      <c r="E24" s="16" t="s">
        <v>29</v>
      </c>
      <c r="F24" s="17">
        <f>SUMPRODUCT(((('06 Lots'!$C$9:$C$38&lt;&gt;"")+('06 Lots'!$D$9:$D$38&lt;&gt;"")+('06 Lots'!$E$9:$E$38&lt;&gt;"")+('06 Lots'!$F$9:$F$38&lt;&gt;"")+('06 Lots'!$G$9:$G$38&lt;&gt;"")+('06 Lots'!$H$9:$H$38&lt;&gt;""))&gt;0)*1)</f>
      </c>
      <c r="G24" s="18">
        <f>K24&amp;" / "&amp;L24</f>
      </c>
      <c r="H24" s="23">
        <f>REPT("━",ROUND(I24*12,0))</f>
      </c>
      <c r="I24" s="20">
        <f>K24/L24</f>
      </c>
      <c r="J24" s="14">
        <f>IF(I24&gt;=1,"Complet",IF(K24=0,"À démarrer","En cours"))</f>
      </c>
      <c r="K24" s="21">
        <f>SUMPRODUCT(((('06 Lots'!$C$9:$C$38&lt;&gt;"")+('06 Lots'!$D$9:$D$38&lt;&gt;"")+('06 Lots'!$E$9:$E$38&lt;&gt;"")+('06 Lots'!$F$9:$F$38&lt;&gt;"")+('06 Lots'!$G$9:$G$38&lt;&gt;"")+('06 Lots'!$H$9:$H$38&lt;&gt;""))&gt;0)*('06 Lots'!$C$9:$C$38&lt;&gt;""))+SUMPRODUCT(((('06 Lots'!$C$9:$C$38&lt;&gt;"")+('06 Lots'!$D$9:$D$38&lt;&gt;"")+('06 Lots'!$E$9:$E$38&lt;&gt;"")+('06 Lots'!$F$9:$F$38&lt;&gt;"")+('06 Lots'!$G$9:$G$38&lt;&gt;"")+('06 Lots'!$H$9:$H$38&lt;&gt;""))&gt;0)*('06 Lots'!$D$9:$D$38&lt;&gt;""))+SUMPRODUCT(((('06 Lots'!$C$9:$C$38&lt;&gt;"")+('06 Lots'!$D$9:$D$38&lt;&gt;"")+('06 Lots'!$E$9:$E$38&lt;&gt;"")+('06 Lots'!$F$9:$F$38&lt;&gt;"")+('06 Lots'!$G$9:$G$38&lt;&gt;"")+('06 Lots'!$H$9:$H$38&lt;&gt;""))&gt;0)*('06 Lots'!$E$9:$E$38&lt;&gt;""))+SUMPRODUCT(((('06 Lots'!$C$9:$C$38&lt;&gt;"")+('06 Lots'!$D$9:$D$38&lt;&gt;"")+('06 Lots'!$E$9:$E$38&lt;&gt;"")+('06 Lots'!$F$9:$F$38&lt;&gt;"")+('06 Lots'!$G$9:$G$38&lt;&gt;"")+('06 Lots'!$H$9:$H$38&lt;&gt;""))&gt;0)*('06 Lots'!$F$9:$F$38&lt;&gt;""))</f>
      </c>
      <c r="L24" s="21">
        <f>MAX(1,F24)*4</f>
      </c>
    </row>
    <row r="25" ht="26" customHeight="1" spans="2:12" x14ac:dyDescent="0.25">
      <c r="B25" s="13" t="s">
        <v>43</v>
      </c>
      <c r="C25" s="14" t="s">
        <v>44</v>
      </c>
      <c r="D25" s="15" t="s">
        <v>45</v>
      </c>
      <c r="E25" s="16" t="s">
        <v>41</v>
      </c>
      <c r="F25" s="17">
        <f>SUMPRODUCT(((('07 Phases'!$C$9:$C$38&lt;&gt;"")+('07 Phases'!$D$9:$D$38&lt;&gt;"")+('07 Phases'!$E$9:$E$38&lt;&gt;"")+('07 Phases'!$F$9:$F$38&lt;&gt;"")+('07 Phases'!$G$9:$G$38&lt;&gt;"")+('07 Phases'!$H$9:$H$38&lt;&gt;"")+('07 Phases'!$I$9:$I$38&lt;&gt;""))&gt;0)*1)</f>
      </c>
      <c r="G25" s="18">
        <f>K25&amp;" / "&amp;L25</f>
      </c>
      <c r="H25" s="23">
        <f>REPT("━",ROUND(I25*12,0))</f>
      </c>
      <c r="I25" s="20">
        <f>K25/L25</f>
      </c>
      <c r="J25" s="14">
        <f>IF(I25&gt;=1,"Complet",IF(K25=0,"À démarrer","En cours"))</f>
      </c>
      <c r="K25" s="21">
        <f>SUMPRODUCT(((('07 Phases'!$C$9:$C$38&lt;&gt;"")+('07 Phases'!$D$9:$D$38&lt;&gt;"")+('07 Phases'!$E$9:$E$38&lt;&gt;"")+('07 Phases'!$F$9:$F$38&lt;&gt;"")+('07 Phases'!$G$9:$G$38&lt;&gt;"")+('07 Phases'!$H$9:$H$38&lt;&gt;"")+('07 Phases'!$I$9:$I$38&lt;&gt;""))&gt;0)*('07 Phases'!$C$9:$C$38&lt;&gt;""))+SUMPRODUCT(((('07 Phases'!$C$9:$C$38&lt;&gt;"")+('07 Phases'!$D$9:$D$38&lt;&gt;"")+('07 Phases'!$E$9:$E$38&lt;&gt;"")+('07 Phases'!$F$9:$F$38&lt;&gt;"")+('07 Phases'!$G$9:$G$38&lt;&gt;"")+('07 Phases'!$H$9:$H$38&lt;&gt;"")+('07 Phases'!$I$9:$I$38&lt;&gt;""))&gt;0)*('07 Phases'!$D$9:$D$38&lt;&gt;""))+SUMPRODUCT(((('07 Phases'!$C$9:$C$38&lt;&gt;"")+('07 Phases'!$D$9:$D$38&lt;&gt;"")+('07 Phases'!$E$9:$E$38&lt;&gt;"")+('07 Phases'!$F$9:$F$38&lt;&gt;"")+('07 Phases'!$G$9:$G$38&lt;&gt;"")+('07 Phases'!$H$9:$H$38&lt;&gt;"")+('07 Phases'!$I$9:$I$38&lt;&gt;""))&gt;0)*('07 Phases'!$E$9:$E$38&lt;&gt;""))+SUMPRODUCT(((('07 Phases'!$C$9:$C$38&lt;&gt;"")+('07 Phases'!$D$9:$D$38&lt;&gt;"")+('07 Phases'!$E$9:$E$38&lt;&gt;"")+('07 Phases'!$F$9:$F$38&lt;&gt;"")+('07 Phases'!$G$9:$G$38&lt;&gt;"")+('07 Phases'!$H$9:$H$38&lt;&gt;"")+('07 Phases'!$I$9:$I$38&lt;&gt;""))&gt;0)*('07 Phases'!$F$9:$F$38&lt;&gt;""))+SUMPRODUCT(((('07 Phases'!$C$9:$C$38&lt;&gt;"")+('07 Phases'!$D$9:$D$38&lt;&gt;"")+('07 Phases'!$E$9:$E$38&lt;&gt;"")+('07 Phases'!$F$9:$F$38&lt;&gt;"")+('07 Phases'!$G$9:$G$38&lt;&gt;"")+('07 Phases'!$H$9:$H$38&lt;&gt;"")+('07 Phases'!$I$9:$I$38&lt;&gt;""))&gt;0)*('07 Phases'!$G$9:$G$38&lt;&gt;""))</f>
      </c>
      <c r="L25" s="21">
        <f>MAX(1,F25)*5</f>
      </c>
    </row>
    <row r="26" ht="26" customHeight="1" spans="2:12" x14ac:dyDescent="0.25">
      <c r="B26" s="13" t="s">
        <v>46</v>
      </c>
      <c r="C26" s="14" t="s">
        <v>47</v>
      </c>
      <c r="D26" s="15" t="s">
        <v>48</v>
      </c>
      <c r="E26" s="16" t="s">
        <v>44</v>
      </c>
      <c r="F26" s="17">
        <f>SUMPRODUCT(((('08 Sous-phases'!$C$9:$C$88&lt;&gt;"")+('08 Sous-phases'!$D$9:$D$88&lt;&gt;"")+('08 Sous-phases'!$E$9:$E$88&lt;&gt;"")+('08 Sous-phases'!$F$9:$F$88&lt;&gt;"")+('08 Sous-phases'!$G$9:$G$88&lt;&gt;"")+('08 Sous-phases'!$H$9:$H$88&lt;&gt;"")+('08 Sous-phases'!$I$9:$I$88&lt;&gt;""))&gt;0)*1)</f>
      </c>
      <c r="G26" s="18">
        <f>K26&amp;" / "&amp;L26</f>
      </c>
      <c r="H26" s="23">
        <f>REPT("━",ROUND(I26*12,0))</f>
      </c>
      <c r="I26" s="20">
        <f>K26/L26</f>
      </c>
      <c r="J26" s="14">
        <f>IF(I26&gt;=1,"Complet",IF(K26=0,"À démarrer","En cours"))</f>
      </c>
      <c r="K26" s="21">
        <f>SUMPRODUCT(((('08 Sous-phases'!$C$9:$C$88&lt;&gt;"")+('08 Sous-phases'!$D$9:$D$88&lt;&gt;"")+('08 Sous-phases'!$E$9:$E$88&lt;&gt;"")+('08 Sous-phases'!$F$9:$F$88&lt;&gt;"")+('08 Sous-phases'!$G$9:$G$88&lt;&gt;"")+('08 Sous-phases'!$H$9:$H$88&lt;&gt;"")+('08 Sous-phases'!$I$9:$I$88&lt;&gt;""))&gt;0)*('08 Sous-phases'!$C$9:$C$88&lt;&gt;""))+SUMPRODUCT(((('08 Sous-phases'!$C$9:$C$88&lt;&gt;"")+('08 Sous-phases'!$D$9:$D$88&lt;&gt;"")+('08 Sous-phases'!$E$9:$E$88&lt;&gt;"")+('08 Sous-phases'!$F$9:$F$88&lt;&gt;"")+('08 Sous-phases'!$G$9:$G$88&lt;&gt;"")+('08 Sous-phases'!$H$9:$H$88&lt;&gt;"")+('08 Sous-phases'!$I$9:$I$88&lt;&gt;""))&gt;0)*('08 Sous-phases'!$D$9:$D$88&lt;&gt;""))+SUMPRODUCT(((('08 Sous-phases'!$C$9:$C$88&lt;&gt;"")+('08 Sous-phases'!$D$9:$D$88&lt;&gt;"")+('08 Sous-phases'!$E$9:$E$88&lt;&gt;"")+('08 Sous-phases'!$F$9:$F$88&lt;&gt;"")+('08 Sous-phases'!$G$9:$G$88&lt;&gt;"")+('08 Sous-phases'!$H$9:$H$88&lt;&gt;"")+('08 Sous-phases'!$I$9:$I$88&lt;&gt;""))&gt;0)*('08 Sous-phases'!$E$9:$E$88&lt;&gt;""))</f>
      </c>
      <c r="L26" s="21">
        <f>MAX(1,F26)*3</f>
      </c>
    </row>
    <row r="27" ht="26" customHeight="1" spans="2:12" x14ac:dyDescent="0.25">
      <c r="B27" s="13" t="s">
        <v>49</v>
      </c>
      <c r="C27" s="14" t="s">
        <v>50</v>
      </c>
      <c r="D27" s="15" t="s">
        <v>51</v>
      </c>
      <c r="E27" s="16" t="s">
        <v>52</v>
      </c>
      <c r="F27" s="17">
        <f>SUMPRODUCT(((('09 Chantiers'!$C$9:$C$38&lt;&gt;"")+('09 Chantiers'!$D$9:$D$38&lt;&gt;"")+('09 Chantiers'!$E$9:$E$38&lt;&gt;"")+('09 Chantiers'!$F$9:$F$38&lt;&gt;"")+('09 Chantiers'!$G$9:$G$38&lt;&gt;""))&gt;0)*1)</f>
      </c>
      <c r="G27" s="18">
        <f>K27&amp;" / "&amp;L27</f>
      </c>
      <c r="H27" s="23">
        <f>REPT("━",ROUND(I27*12,0))</f>
      </c>
      <c r="I27" s="20">
        <f>K27/L27</f>
      </c>
      <c r="J27" s="14">
        <f>IF(I27&gt;=1,"Complet",IF(K27=0,"À démarrer","En cours"))</f>
      </c>
      <c r="K27" s="21">
        <f>SUMPRODUCT(((('09 Chantiers'!$C$9:$C$38&lt;&gt;"")+('09 Chantiers'!$D$9:$D$38&lt;&gt;"")+('09 Chantiers'!$E$9:$E$38&lt;&gt;"")+('09 Chantiers'!$F$9:$F$38&lt;&gt;"")+('09 Chantiers'!$G$9:$G$38&lt;&gt;""))&gt;0)*('09 Chantiers'!$C$9:$C$38&lt;&gt;""))+SUMPRODUCT(((('09 Chantiers'!$C$9:$C$38&lt;&gt;"")+('09 Chantiers'!$D$9:$D$38&lt;&gt;"")+('09 Chantiers'!$E$9:$E$38&lt;&gt;"")+('09 Chantiers'!$F$9:$F$38&lt;&gt;"")+('09 Chantiers'!$G$9:$G$38&lt;&gt;""))&gt;0)*('09 Chantiers'!$D$9:$D$38&lt;&gt;""))</f>
      </c>
      <c r="L27" s="21">
        <f>MAX(1,F27)*2</f>
      </c>
    </row>
    <row r="28" ht="26" customHeight="1" spans="3:3" x14ac:dyDescent="0.25">
      <c r="C28" s="24" t="s">
        <v>53</v>
      </c>
    </row>
    <row r="29" ht="26" customHeight="1" spans="2:12" x14ac:dyDescent="0.25">
      <c r="B29" s="13" t="s">
        <v>54</v>
      </c>
      <c r="C29" s="14" t="s">
        <v>55</v>
      </c>
      <c r="D29" s="15" t="s">
        <v>56</v>
      </c>
      <c r="E29" s="16" t="s">
        <v>24</v>
      </c>
      <c r="F29" s="17">
        <f>SUMPRODUCT(((('10 Instances'!$B$9:$B$28&lt;&gt;"")+('10 Instances'!$C$9:$C$28&lt;&gt;"")+('10 Instances'!$D$9:$D$28&lt;&gt;"")+('10 Instances'!$F$9:$F$28&lt;&gt;"")+('10 Instances'!$G$9:$G$28&lt;&gt;"")+('10 Instances'!$H$9:$H$28&lt;&gt;""))&gt;0)*1)</f>
      </c>
      <c r="G29" s="18">
        <f>K29&amp;" / "&amp;L29</f>
      </c>
      <c r="H29" s="25">
        <f>REPT("━",ROUND(I29*12,0))</f>
      </c>
      <c r="I29" s="20">
        <f>K29/L29</f>
      </c>
      <c r="J29" s="14">
        <f>IF(I29&gt;=1,"Complet",IF(K29=0,"À démarrer","En cours"))</f>
      </c>
      <c r="K29" s="21">
        <f>SUMPRODUCT(((('10 Instances'!$B$9:$B$28&lt;&gt;"")+('10 Instances'!$C$9:$C$28&lt;&gt;"")+('10 Instances'!$D$9:$D$28&lt;&gt;"")+('10 Instances'!$F$9:$F$28&lt;&gt;"")+('10 Instances'!$G$9:$G$28&lt;&gt;"")+('10 Instances'!$H$9:$H$28&lt;&gt;""))&gt;0)*('10 Instances'!$B$9:$B$28&lt;&gt;""))+SUMPRODUCT(((('10 Instances'!$B$9:$B$28&lt;&gt;"")+('10 Instances'!$C$9:$C$28&lt;&gt;"")+('10 Instances'!$D$9:$D$28&lt;&gt;"")+('10 Instances'!$F$9:$F$28&lt;&gt;"")+('10 Instances'!$G$9:$G$28&lt;&gt;"")+('10 Instances'!$H$9:$H$28&lt;&gt;""))&gt;0)*('10 Instances'!$C$9:$C$28&lt;&gt;""))+SUMPRODUCT(((('10 Instances'!$B$9:$B$28&lt;&gt;"")+('10 Instances'!$C$9:$C$28&lt;&gt;"")+('10 Instances'!$D$9:$D$28&lt;&gt;"")+('10 Instances'!$F$9:$F$28&lt;&gt;"")+('10 Instances'!$G$9:$G$28&lt;&gt;"")+('10 Instances'!$H$9:$H$28&lt;&gt;""))&gt;0)*('10 Instances'!$D$9:$D$28&lt;&gt;""))+SUMPRODUCT(((('10 Instances'!$B$9:$B$28&lt;&gt;"")+('10 Instances'!$C$9:$C$28&lt;&gt;"")+('10 Instances'!$D$9:$D$28&lt;&gt;"")+('10 Instances'!$F$9:$F$28&lt;&gt;"")+('10 Instances'!$G$9:$G$28&lt;&gt;"")+('10 Instances'!$H$9:$H$28&lt;&gt;""))&gt;0)*('10 Instances'!$F$9:$F$28&lt;&gt;""))</f>
      </c>
      <c r="L29" s="21">
        <f>MAX(1,F29)*4</f>
      </c>
    </row>
    <row r="30" ht="26" customHeight="1" spans="2:12" x14ac:dyDescent="0.25">
      <c r="B30" s="13" t="s">
        <v>57</v>
      </c>
      <c r="C30" s="14" t="s">
        <v>58</v>
      </c>
      <c r="D30" s="15" t="s">
        <v>59</v>
      </c>
      <c r="E30" s="16" t="s">
        <v>60</v>
      </c>
      <c r="F30" s="17">
        <f>SUMPRODUCT(((('11 Membres'!$B$9:$B$208&lt;&gt;"")+('11 Membres'!$C$9:$C$208&lt;&gt;"")+('11 Membres'!$D$9:$D$208&lt;&gt;""))&gt;0)*1)</f>
      </c>
      <c r="G30" s="18">
        <f>K30&amp;" / "&amp;L30</f>
      </c>
      <c r="H30" s="25">
        <f>REPT("━",ROUND(I30*12,0))</f>
      </c>
      <c r="I30" s="20">
        <f>K30/L30</f>
      </c>
      <c r="J30" s="14">
        <f>IF(I30&gt;=1,"Complet",IF(K30=0,"À démarrer","En cours"))</f>
      </c>
      <c r="K30" s="21">
        <f>SUMPRODUCT(((('11 Membres'!$B$9:$B$208&lt;&gt;"")+('11 Membres'!$C$9:$C$208&lt;&gt;"")+('11 Membres'!$D$9:$D$208&lt;&gt;""))&gt;0)*('11 Membres'!$B$9:$B$208&lt;&gt;""))+SUMPRODUCT(((('11 Membres'!$B$9:$B$208&lt;&gt;"")+('11 Membres'!$C$9:$C$208&lt;&gt;"")+('11 Membres'!$D$9:$D$208&lt;&gt;""))&gt;0)*('11 Membres'!$C$9:$C$208&lt;&gt;""))</f>
      </c>
      <c r="L30" s="21">
        <f>MAX(1,F30)*2</f>
      </c>
    </row>
    <row r="31" ht="26" customHeight="1" spans="3:3" x14ac:dyDescent="0.25">
      <c r="C31" s="26" t="s">
        <v>61</v>
      </c>
    </row>
    <row r="32" ht="26" customHeight="1" spans="2:12" x14ac:dyDescent="0.25">
      <c r="B32" s="13" t="s">
        <v>62</v>
      </c>
      <c r="C32" s="14" t="s">
        <v>63</v>
      </c>
      <c r="D32" s="15" t="s">
        <v>64</v>
      </c>
      <c r="E32" s="16" t="s">
        <v>65</v>
      </c>
      <c r="F32" s="17">
        <f>SUMPRODUCT(((('12 Jalons'!$C$9:$C$108&lt;&gt;"")+('12 Jalons'!$D$9:$D$108&lt;&gt;"")+('12 Jalons'!$E$9:$E$108&lt;&gt;"")+('12 Jalons'!$F$9:$F$108&lt;&gt;"")+('12 Jalons'!$G$9:$G$108&lt;&gt;"")+('12 Jalons'!$H$9:$H$108&lt;&gt;"")+('12 Jalons'!$I$9:$I$108&lt;&gt;"")+('12 Jalons'!$J$9:$J$108&lt;&gt;""))&gt;0)*1)</f>
      </c>
      <c r="G32" s="18">
        <f>K32&amp;" / "&amp;L32</f>
      </c>
      <c r="H32" s="27">
        <f>REPT("━",ROUND(I32*12,0))</f>
      </c>
      <c r="I32" s="20">
        <f>K32/L32</f>
      </c>
      <c r="J32" s="14">
        <f>IF(I32&gt;=1,"Complet",IF(K32=0,"À démarrer","En cours"))</f>
      </c>
      <c r="K32" s="21">
        <f>SUMPRODUCT(((('12 Jalons'!$C$9:$C$108&lt;&gt;"")+('12 Jalons'!$D$9:$D$108&lt;&gt;"")+('12 Jalons'!$E$9:$E$108&lt;&gt;"")+('12 Jalons'!$F$9:$F$108&lt;&gt;"")+('12 Jalons'!$G$9:$G$108&lt;&gt;"")+('12 Jalons'!$H$9:$H$108&lt;&gt;"")+('12 Jalons'!$I$9:$I$108&lt;&gt;"")+('12 Jalons'!$J$9:$J$108&lt;&gt;""))&gt;0)*('12 Jalons'!$C$9:$C$108&lt;&gt;""))+SUMPRODUCT(((('12 Jalons'!$C$9:$C$108&lt;&gt;"")+('12 Jalons'!$D$9:$D$108&lt;&gt;"")+('12 Jalons'!$E$9:$E$108&lt;&gt;"")+('12 Jalons'!$F$9:$F$108&lt;&gt;"")+('12 Jalons'!$G$9:$G$108&lt;&gt;"")+('12 Jalons'!$H$9:$H$108&lt;&gt;"")+('12 Jalons'!$I$9:$I$108&lt;&gt;"")+('12 Jalons'!$J$9:$J$108&lt;&gt;""))&gt;0)*('12 Jalons'!$D$9:$D$108&lt;&gt;""))+SUMPRODUCT(((('12 Jalons'!$C$9:$C$108&lt;&gt;"")+('12 Jalons'!$D$9:$D$108&lt;&gt;"")+('12 Jalons'!$E$9:$E$108&lt;&gt;"")+('12 Jalons'!$F$9:$F$108&lt;&gt;"")+('12 Jalons'!$G$9:$G$108&lt;&gt;"")+('12 Jalons'!$H$9:$H$108&lt;&gt;"")+('12 Jalons'!$I$9:$I$108&lt;&gt;"")+('12 Jalons'!$J$9:$J$108&lt;&gt;""))&gt;0)*('12 Jalons'!$I$9:$I$108&lt;&gt;""))</f>
      </c>
      <c r="L32" s="21">
        <f>MAX(1,F32)*3</f>
      </c>
    </row>
    <row r="33" ht="26" customHeight="1" spans="2:12" x14ac:dyDescent="0.25">
      <c r="B33" s="13" t="s">
        <v>66</v>
      </c>
      <c r="C33" s="14" t="s">
        <v>67</v>
      </c>
      <c r="D33" s="15" t="s">
        <v>68</v>
      </c>
      <c r="E33" s="16" t="s">
        <v>69</v>
      </c>
      <c r="F33" s="17">
        <f>SUMPRODUCT(((('13 Livrables'!$B$9:$B$158&lt;&gt;"")+('13 Livrables'!$C$9:$C$158&lt;&gt;"")+('13 Livrables'!$D$9:$D$158&lt;&gt;"")+('13 Livrables'!$E$9:$E$158&lt;&gt;"")+('13 Livrables'!$F$9:$F$158&lt;&gt;"")+('13 Livrables'!$G$9:$G$158&lt;&gt;""))&gt;0)*1)</f>
      </c>
      <c r="G33" s="18">
        <f>K33&amp;" / "&amp;L33</f>
      </c>
      <c r="H33" s="27">
        <f>REPT("━",ROUND(I33*12,0))</f>
      </c>
      <c r="I33" s="20">
        <f>K33/L33</f>
      </c>
      <c r="J33" s="14">
        <f>IF(I33&gt;=1,"Complet",IF(K33=0,"À démarrer","En cours"))</f>
      </c>
      <c r="K33" s="21">
        <f>SUMPRODUCT(((('13 Livrables'!$B$9:$B$158&lt;&gt;"")+('13 Livrables'!$C$9:$C$158&lt;&gt;"")+('13 Livrables'!$D$9:$D$158&lt;&gt;"")+('13 Livrables'!$E$9:$E$158&lt;&gt;"")+('13 Livrables'!$F$9:$F$158&lt;&gt;"")+('13 Livrables'!$G$9:$G$158&lt;&gt;""))&gt;0)*('13 Livrables'!$B$9:$B$158&lt;&gt;""))+SUMPRODUCT(((('13 Livrables'!$B$9:$B$158&lt;&gt;"")+('13 Livrables'!$C$9:$C$158&lt;&gt;"")+('13 Livrables'!$D$9:$D$158&lt;&gt;"")+('13 Livrables'!$E$9:$E$158&lt;&gt;"")+('13 Livrables'!$F$9:$F$158&lt;&gt;"")+('13 Livrables'!$G$9:$G$158&lt;&gt;""))&gt;0)*('13 Livrables'!$C$9:$C$158&lt;&gt;""))+SUMPRODUCT(((('13 Livrables'!$B$9:$B$158&lt;&gt;"")+('13 Livrables'!$C$9:$C$158&lt;&gt;"")+('13 Livrables'!$D$9:$D$158&lt;&gt;"")+('13 Livrables'!$E$9:$E$158&lt;&gt;"")+('13 Livrables'!$F$9:$F$158&lt;&gt;"")+('13 Livrables'!$G$9:$G$158&lt;&gt;""))&gt;0)*('13 Livrables'!$E$9:$E$158&lt;&gt;""))+SUMPRODUCT(((('13 Livrables'!$B$9:$B$158&lt;&gt;"")+('13 Livrables'!$C$9:$C$158&lt;&gt;"")+('13 Livrables'!$D$9:$D$158&lt;&gt;"")+('13 Livrables'!$E$9:$E$158&lt;&gt;"")+('13 Livrables'!$F$9:$F$158&lt;&gt;"")+('13 Livrables'!$G$9:$G$158&lt;&gt;""))&gt;0)*('13 Livrables'!$G$9:$G$158&lt;&gt;""))</f>
      </c>
      <c r="L33" s="21">
        <f>MAX(1,F33)*4</f>
      </c>
    </row>
    <row r="35" ht="16" customHeight="1" spans="2:10" x14ac:dyDescent="0.25">
      <c r="B35" s="28" t="s">
        <v>70</v>
      </c>
      <c r="C35" s="28"/>
      <c r="D35" s="28"/>
      <c r="E35" s="28"/>
      <c r="F35" s="28"/>
      <c r="G35" s="28"/>
      <c r="H35" s="28"/>
      <c r="I35" s="28"/>
      <c r="J35" s="28"/>
    </row>
    <row r="36" ht="16" customHeight="1" spans="2:10" x14ac:dyDescent="0.25">
      <c r="B36" s="28" t="s">
        <v>71</v>
      </c>
      <c r="C36" s="28"/>
      <c r="D36" s="28"/>
      <c r="E36" s="28"/>
      <c r="F36" s="28"/>
      <c r="G36" s="28"/>
      <c r="H36" s="28"/>
      <c r="I36" s="28"/>
      <c r="J36" s="28"/>
    </row>
    <row r="37" ht="16" customHeight="1" spans="2:10" x14ac:dyDescent="0.25">
      <c r="B37" s="28" t="s">
        <v>72</v>
      </c>
      <c r="C37" s="28"/>
      <c r="D37" s="28"/>
      <c r="E37" s="28"/>
      <c r="F37" s="28"/>
      <c r="G37" s="28"/>
      <c r="H37" s="28"/>
      <c r="I37" s="28"/>
      <c r="J37" s="28"/>
    </row>
  </sheetData>
  <sheetProtection sheet="1" formatColumns="0"/>
  <mergeCells count="8">
    <mergeCell ref="B5:C6"/>
    <mergeCell ref="C8:J8"/>
    <mergeCell ref="C9:J9"/>
    <mergeCell ref="C10:J10"/>
    <mergeCell ref="C12:J12"/>
    <mergeCell ref="B35:J35"/>
    <mergeCell ref="B36:J36"/>
    <mergeCell ref="B37:J37"/>
  </mergeCells>
  <conditionalFormatting sqref="J17:J33">
    <cfRule type="cellIs" dxfId="0" priority="1" operator="equal">
      <formula>"Complet"</formula>
    </cfRule>
    <cfRule type="cellIs" dxfId="1" priority="2" operator="equal">
      <formula>"En cours"</formula>
    </cfRule>
    <cfRule type="cellIs" dxfId="2" priority="3" operator="equal">
      <formula>"À démarrer"</formula>
    </cfRule>
  </conditionalFormatting>
  <hyperlinks>
    <hyperlink ref="C18" r:id="rId1" location="#'01 Équipes'!A1"/>
    <hyperlink ref="C19" r:id="rId2" location="#'02 Rôles'!A1"/>
    <hyperlink ref="C20" r:id="rId3" location="#'03 Personnes'!A1"/>
    <hyperlink ref="C21" r:id="rId4" location="#'04 Affectations'!A1"/>
    <hyperlink ref="C23" r:id="rId5" location="#'05 Projet'!A1"/>
    <hyperlink ref="C24" r:id="rId6" location="#'06 Lots'!A1"/>
    <hyperlink ref="C25" r:id="rId7" location="#'07 Phases'!A1"/>
    <hyperlink ref="C26" r:id="rId8" location="#'08 Sous-phases'!A1"/>
    <hyperlink ref="C27" r:id="rId9" location="#'09 Chantiers'!A1"/>
    <hyperlink ref="C29" r:id="rId10" location="#'10 Instances'!A1"/>
    <hyperlink ref="C30" r:id="rId11" location="#'11 Membres'!A1"/>
    <hyperlink ref="C32" r:id="rId12" location="#'12 Jalons'!A1"/>
    <hyperlink ref="C33" r:id="rId13" location="#'13 Livrables'!A1"/>
  </hyperlinks>
  <pageMargins left="0.4" right="0.4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233A"/>
    <pageSetUpPr fitToPage="1"/>
  </sheetPr>
  <dimension ref="B1:E31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4" customWidth="1"/>
    <col min="3" max="3" width="62" customWidth="1"/>
    <col min="4" max="4" width="52" customWidth="1"/>
    <col min="5" max="5" width="18" customWidth="1"/>
  </cols>
  <sheetData>
    <row r="1" ht="12" customHeight="1" x14ac:dyDescent="0.25"/>
    <row r="2" ht="34" customHeight="1" spans="2:2" x14ac:dyDescent="0.25">
      <c r="B2" s="1" t="s">
        <v>73</v>
      </c>
    </row>
    <row r="3" ht="18" customHeight="1" spans="2:2" x14ac:dyDescent="0.25">
      <c r="B3" s="2" t="s">
        <v>74</v>
      </c>
    </row>
    <row r="4" ht="10" customHeight="1" x14ac:dyDescent="0.25"/>
    <row r="6" ht="24" customHeight="1" spans="2:5" x14ac:dyDescent="0.25">
      <c r="B6" s="29" t="s">
        <v>75</v>
      </c>
      <c r="C6" s="29" t="s">
        <v>76</v>
      </c>
      <c r="D6" s="29" t="s">
        <v>77</v>
      </c>
      <c r="E6" s="29" t="s">
        <v>12</v>
      </c>
    </row>
    <row r="7" ht="30" customHeight="1" spans="2:2" x14ac:dyDescent="0.25">
      <c r="B7" s="30" t="s">
        <v>78</v>
      </c>
    </row>
    <row r="8" ht="53" customHeight="1" spans="2:5" x14ac:dyDescent="0.25">
      <c r="B8" s="31" t="s">
        <v>79</v>
      </c>
      <c r="C8" s="32" t="s">
        <v>80</v>
      </c>
      <c r="D8" s="33" t="s">
        <v>81</v>
      </c>
      <c r="E8" s="34" t="s">
        <v>82</v>
      </c>
    </row>
    <row r="9" ht="38" customHeight="1" spans="2:5" x14ac:dyDescent="0.25">
      <c r="B9" s="31" t="s">
        <v>83</v>
      </c>
      <c r="C9" s="32" t="s">
        <v>84</v>
      </c>
      <c r="D9" s="33" t="s">
        <v>85</v>
      </c>
      <c r="E9" s="34" t="s">
        <v>86</v>
      </c>
    </row>
    <row r="10" ht="23" customHeight="1" spans="2:5" x14ac:dyDescent="0.25">
      <c r="B10" s="31" t="s">
        <v>87</v>
      </c>
      <c r="C10" s="32" t="s">
        <v>88</v>
      </c>
      <c r="D10" s="33" t="s">
        <v>89</v>
      </c>
      <c r="E10" s="34" t="s">
        <v>90</v>
      </c>
    </row>
    <row r="11" ht="38" customHeight="1" spans="2:5" x14ac:dyDescent="0.25">
      <c r="B11" s="31" t="s">
        <v>91</v>
      </c>
      <c r="C11" s="32" t="s">
        <v>92</v>
      </c>
      <c r="D11" s="33" t="s">
        <v>93</v>
      </c>
      <c r="E11" s="34" t="s">
        <v>94</v>
      </c>
    </row>
    <row r="12" ht="30" customHeight="1" spans="2:2" x14ac:dyDescent="0.25">
      <c r="B12" s="35" t="s">
        <v>95</v>
      </c>
    </row>
    <row r="13" ht="38" customHeight="1" spans="2:5" x14ac:dyDescent="0.25">
      <c r="B13" s="31" t="s">
        <v>96</v>
      </c>
      <c r="C13" s="32" t="s">
        <v>97</v>
      </c>
      <c r="D13" s="33" t="s">
        <v>98</v>
      </c>
      <c r="E13" s="34" t="s">
        <v>99</v>
      </c>
    </row>
    <row r="14" ht="38" customHeight="1" spans="2:5" x14ac:dyDescent="0.25">
      <c r="B14" s="31" t="s">
        <v>100</v>
      </c>
      <c r="C14" s="32" t="s">
        <v>101</v>
      </c>
      <c r="D14" s="33" t="s">
        <v>102</v>
      </c>
      <c r="E14" s="34" t="s">
        <v>103</v>
      </c>
    </row>
    <row r="15" ht="23" customHeight="1" spans="2:5" x14ac:dyDescent="0.25">
      <c r="B15" s="31" t="s">
        <v>104</v>
      </c>
      <c r="C15" s="32" t="s">
        <v>105</v>
      </c>
      <c r="D15" s="33" t="s">
        <v>106</v>
      </c>
      <c r="E15" s="34" t="s">
        <v>107</v>
      </c>
    </row>
    <row r="16" ht="23" customHeight="1" spans="2:5" x14ac:dyDescent="0.25">
      <c r="B16" s="31" t="s">
        <v>108</v>
      </c>
      <c r="C16" s="32" t="s">
        <v>109</v>
      </c>
      <c r="D16" s="33" t="s">
        <v>110</v>
      </c>
      <c r="E16" s="34" t="s">
        <v>111</v>
      </c>
    </row>
    <row r="17" ht="23" customHeight="1" spans="2:5" x14ac:dyDescent="0.25">
      <c r="B17" s="31" t="s">
        <v>112</v>
      </c>
      <c r="C17" s="32" t="s">
        <v>113</v>
      </c>
      <c r="D17" s="33" t="s">
        <v>114</v>
      </c>
      <c r="E17" s="34" t="s">
        <v>115</v>
      </c>
    </row>
    <row r="18" ht="30" customHeight="1" spans="2:2" x14ac:dyDescent="0.25">
      <c r="B18" s="36" t="s">
        <v>116</v>
      </c>
    </row>
    <row r="19" ht="23" customHeight="1" spans="2:5" x14ac:dyDescent="0.25">
      <c r="B19" s="31" t="s">
        <v>117</v>
      </c>
      <c r="C19" s="32" t="s">
        <v>118</v>
      </c>
      <c r="D19" s="33" t="s">
        <v>119</v>
      </c>
      <c r="E19" s="34" t="s">
        <v>120</v>
      </c>
    </row>
    <row r="20" ht="38" customHeight="1" spans="2:5" x14ac:dyDescent="0.25">
      <c r="B20" s="31" t="s">
        <v>121</v>
      </c>
      <c r="C20" s="32" t="s">
        <v>122</v>
      </c>
      <c r="D20" s="33" t="s">
        <v>123</v>
      </c>
      <c r="E20" s="34" t="s">
        <v>120</v>
      </c>
    </row>
    <row r="21" ht="38" customHeight="1" spans="2:5" x14ac:dyDescent="0.25">
      <c r="B21" s="31" t="s">
        <v>124</v>
      </c>
      <c r="C21" s="32" t="s">
        <v>125</v>
      </c>
      <c r="D21" s="33" t="s">
        <v>126</v>
      </c>
      <c r="E21" s="34" t="s">
        <v>127</v>
      </c>
    </row>
    <row r="22" ht="30" customHeight="1" spans="2:2" x14ac:dyDescent="0.25">
      <c r="B22" s="37" t="s">
        <v>128</v>
      </c>
    </row>
    <row r="23" ht="38" customHeight="1" spans="2:5" x14ac:dyDescent="0.25">
      <c r="B23" s="31" t="s">
        <v>129</v>
      </c>
      <c r="C23" s="32" t="s">
        <v>130</v>
      </c>
      <c r="D23" s="33" t="s">
        <v>131</v>
      </c>
      <c r="E23" s="34" t="s">
        <v>132</v>
      </c>
    </row>
    <row r="24" ht="23" customHeight="1" spans="2:5" x14ac:dyDescent="0.25">
      <c r="B24" s="31" t="s">
        <v>133</v>
      </c>
      <c r="C24" s="32" t="s">
        <v>134</v>
      </c>
      <c r="D24" s="33" t="s">
        <v>135</v>
      </c>
      <c r="E24" s="34" t="s">
        <v>132</v>
      </c>
    </row>
    <row r="25" ht="38" customHeight="1" spans="2:5" x14ac:dyDescent="0.25">
      <c r="B25" s="31" t="s">
        <v>136</v>
      </c>
      <c r="C25" s="32" t="s">
        <v>137</v>
      </c>
      <c r="D25" s="33" t="s">
        <v>138</v>
      </c>
      <c r="E25" s="34" t="s">
        <v>132</v>
      </c>
    </row>
    <row r="26" ht="38" customHeight="1" spans="2:5" x14ac:dyDescent="0.25">
      <c r="B26" s="31" t="s">
        <v>139</v>
      </c>
      <c r="C26" s="32" t="s">
        <v>140</v>
      </c>
      <c r="D26" s="33" t="s">
        <v>141</v>
      </c>
      <c r="E26" s="34" t="s">
        <v>142</v>
      </c>
    </row>
    <row r="27" ht="30" customHeight="1" spans="2:2" x14ac:dyDescent="0.25">
      <c r="B27" s="35" t="s">
        <v>143</v>
      </c>
    </row>
    <row r="28" ht="38" customHeight="1" spans="2:5" x14ac:dyDescent="0.25">
      <c r="B28" s="31" t="s">
        <v>144</v>
      </c>
      <c r="C28" s="32" t="s">
        <v>145</v>
      </c>
      <c r="D28" s="33" t="s">
        <v>146</v>
      </c>
      <c r="E28" s="34" t="s">
        <v>107</v>
      </c>
    </row>
    <row r="29" ht="38" customHeight="1" spans="2:5" x14ac:dyDescent="0.25">
      <c r="B29" s="31" t="s">
        <v>147</v>
      </c>
      <c r="C29" s="32" t="s">
        <v>148</v>
      </c>
      <c r="D29" s="33" t="s">
        <v>149</v>
      </c>
      <c r="E29" s="34" t="s">
        <v>132</v>
      </c>
    </row>
    <row r="30" ht="38" customHeight="1" spans="2:5" x14ac:dyDescent="0.25">
      <c r="B30" s="31" t="s">
        <v>150</v>
      </c>
      <c r="C30" s="32" t="s">
        <v>151</v>
      </c>
      <c r="D30" s="33" t="s">
        <v>152</v>
      </c>
      <c r="E30" s="34" t="s">
        <v>132</v>
      </c>
    </row>
    <row r="31" ht="53" customHeight="1" spans="2:5" x14ac:dyDescent="0.25">
      <c r="B31" s="31" t="s">
        <v>99</v>
      </c>
      <c r="C31" s="32" t="s">
        <v>153</v>
      </c>
      <c r="D31" s="33" t="s">
        <v>154</v>
      </c>
      <c r="E31" s="34" t="s">
        <v>99</v>
      </c>
    </row>
  </sheetData>
  <hyperlinks>
    <hyperlink ref="E8" r:id="rId1" location="#'01 Équipes'!A1"/>
    <hyperlink ref="E9" r:id="rId2" location="#'02 Rôles'!A1"/>
    <hyperlink ref="E10" r:id="rId3" location="#'03 Personnes'!A1"/>
    <hyperlink ref="E11" r:id="rId4" location="#'04 Affectations'!A1"/>
    <hyperlink ref="E13" r:id="rId5" location="#'Complétude'!A1"/>
    <hyperlink ref="E14" r:id="rId6" location="#'06 Lots'!A1"/>
    <hyperlink ref="E15" r:id="rId7" location="#'07 Phases'!A1"/>
    <hyperlink ref="E16" r:id="rId8" location="#'08 Sous-phases'!A1"/>
    <hyperlink ref="E17" r:id="rId9" location="#'09 Chantiers'!A1"/>
    <hyperlink ref="E19" r:id="rId10" location="#'10 Instances'!A1"/>
    <hyperlink ref="E20" r:id="rId11" location="#'10 Instances'!A1"/>
    <hyperlink ref="E21" r:id="rId12" location="#'11 Membres'!A1"/>
    <hyperlink ref="E23" r:id="rId13" location="#'12 Jalons'!A1"/>
    <hyperlink ref="E24" r:id="rId14" location="#'12 Jalons'!A1"/>
    <hyperlink ref="E25" r:id="rId15" location="#'12 Jalons'!A1"/>
    <hyperlink ref="E26" r:id="rId16" location="#'13 Livrables'!A1"/>
    <hyperlink ref="E28" r:id="rId17" location="#'07 Phases'!A1"/>
    <hyperlink ref="E29" r:id="rId18" location="#'12 Jalons'!A1"/>
    <hyperlink ref="E30" r:id="rId19" location="#'12 Jalons'!A1"/>
    <hyperlink ref="E31" r:id="rId20" location="#'Complétude'!A1"/>
  </hyperlinks>
  <pageMargins left="0.4" right="0.4" top="0.5" bottom="0.5" header="0.2" footer="0.2"/>
  <pageSetup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D8"/>
    <pageSetUpPr fitToPage="1"/>
  </sheetPr>
  <dimension ref="B1:E3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56" customWidth="1"/>
    <col min="4" max="4" width="11" customWidth="1"/>
    <col min="5" max="5" width="20" customWidth="1"/>
  </cols>
  <sheetData>
    <row r="1" ht="12" customHeight="1" x14ac:dyDescent="0.25"/>
    <row r="2" ht="34" customHeight="1" spans="2:5" x14ac:dyDescent="0.25">
      <c r="B2" s="1" t="s">
        <v>22</v>
      </c>
      <c r="E2" s="38">
        <f>'Complétude'!$I18</f>
      </c>
    </row>
    <row r="3" ht="18" customHeight="1" spans="2:5" x14ac:dyDescent="0.25">
      <c r="B3" s="2" t="s">
        <v>155</v>
      </c>
      <c r="E3" s="39" t="s">
        <v>156</v>
      </c>
    </row>
    <row r="4" ht="18" customHeight="1" spans="2:2" x14ac:dyDescent="0.25">
      <c r="B4" t="s">
        <v>157</v>
      </c>
    </row>
    <row r="5" ht="16" customHeight="1" spans="2:2" x14ac:dyDescent="0.25">
      <c r="B5" s="40" t="s">
        <v>158</v>
      </c>
    </row>
    <row r="6" ht="10" customHeight="1" x14ac:dyDescent="0.25"/>
    <row r="7" ht="15" customHeight="1" spans="2:5" x14ac:dyDescent="0.25">
      <c r="B7" s="41" t="s">
        <v>159</v>
      </c>
      <c r="C7" s="42" t="s">
        <v>160</v>
      </c>
      <c r="D7" s="43" t="s">
        <v>161</v>
      </c>
      <c r="E7" s="43" t="s">
        <v>162</v>
      </c>
    </row>
    <row r="8" ht="26" customHeight="1" spans="2:5" x14ac:dyDescent="0.25">
      <c r="B8" s="44" t="s">
        <v>163</v>
      </c>
      <c r="C8" s="44" t="s">
        <v>164</v>
      </c>
      <c r="D8" s="45" t="s">
        <v>29</v>
      </c>
      <c r="E8" s="45" t="s">
        <v>150</v>
      </c>
    </row>
    <row r="9" ht="21" customHeight="1" spans="2:5" x14ac:dyDescent="0.25">
      <c r="B9" s="46"/>
      <c r="C9" s="46"/>
      <c r="D9" s="47">
        <f>IF(B9="","",COUNTIF('03 Personnes'!$D$9:$D$158,B9))</f>
      </c>
      <c r="E9" s="48">
        <f>IF(B9="","",IF(COUNTIF($B$9:$B$38,B9)&gt;1,"⚠ Nom en double","✓"))</f>
      </c>
    </row>
    <row r="10" ht="21" customHeight="1" spans="2:5" x14ac:dyDescent="0.25">
      <c r="B10" s="46"/>
      <c r="C10" s="46"/>
      <c r="D10" s="47">
        <f>IF(B10="","",COUNTIF('03 Personnes'!$D$9:$D$158,B10))</f>
      </c>
      <c r="E10" s="48">
        <f>IF(B10="","",IF(COUNTIF($B$9:$B$38,B10)&gt;1,"⚠ Nom en double","✓"))</f>
      </c>
    </row>
    <row r="11" ht="21" customHeight="1" spans="2:5" x14ac:dyDescent="0.25">
      <c r="B11" s="46"/>
      <c r="C11" s="46"/>
      <c r="D11" s="47">
        <f>IF(B11="","",COUNTIF('03 Personnes'!$D$9:$D$158,B11))</f>
      </c>
      <c r="E11" s="48">
        <f>IF(B11="","",IF(COUNTIF($B$9:$B$38,B11)&gt;1,"⚠ Nom en double","✓"))</f>
      </c>
    </row>
    <row r="12" ht="21" customHeight="1" spans="2:5" x14ac:dyDescent="0.25">
      <c r="B12" s="46"/>
      <c r="C12" s="46"/>
      <c r="D12" s="47">
        <f>IF(B12="","",COUNTIF('03 Personnes'!$D$9:$D$158,B12))</f>
      </c>
      <c r="E12" s="48">
        <f>IF(B12="","",IF(COUNTIF($B$9:$B$38,B12)&gt;1,"⚠ Nom en double","✓"))</f>
      </c>
    </row>
    <row r="13" ht="21" customHeight="1" spans="2:5" x14ac:dyDescent="0.25">
      <c r="B13" s="46"/>
      <c r="C13" s="46"/>
      <c r="D13" s="47">
        <f>IF(B13="","",COUNTIF('03 Personnes'!$D$9:$D$158,B13))</f>
      </c>
      <c r="E13" s="48">
        <f>IF(B13="","",IF(COUNTIF($B$9:$B$38,B13)&gt;1,"⚠ Nom en double","✓"))</f>
      </c>
    </row>
    <row r="14" ht="21" customHeight="1" spans="2:5" x14ac:dyDescent="0.25">
      <c r="B14" s="46"/>
      <c r="C14" s="46"/>
      <c r="D14" s="47">
        <f>IF(B14="","",COUNTIF('03 Personnes'!$D$9:$D$158,B14))</f>
      </c>
      <c r="E14" s="48">
        <f>IF(B14="","",IF(COUNTIF($B$9:$B$38,B14)&gt;1,"⚠ Nom en double","✓"))</f>
      </c>
    </row>
    <row r="15" ht="21" customHeight="1" spans="2:5" x14ac:dyDescent="0.25">
      <c r="B15" s="46"/>
      <c r="C15" s="46"/>
      <c r="D15" s="47">
        <f>IF(B15="","",COUNTIF('03 Personnes'!$D$9:$D$158,B15))</f>
      </c>
      <c r="E15" s="48">
        <f>IF(B15="","",IF(COUNTIF($B$9:$B$38,B15)&gt;1,"⚠ Nom en double","✓"))</f>
      </c>
    </row>
    <row r="16" ht="21" customHeight="1" spans="2:5" x14ac:dyDescent="0.25">
      <c r="B16" s="46"/>
      <c r="C16" s="46"/>
      <c r="D16" s="47">
        <f>IF(B16="","",COUNTIF('03 Personnes'!$D$9:$D$158,B16))</f>
      </c>
      <c r="E16" s="48">
        <f>IF(B16="","",IF(COUNTIF($B$9:$B$38,B16)&gt;1,"⚠ Nom en double","✓"))</f>
      </c>
    </row>
    <row r="17" ht="21" customHeight="1" spans="2:5" x14ac:dyDescent="0.25">
      <c r="B17" s="46"/>
      <c r="C17" s="46"/>
      <c r="D17" s="47">
        <f>IF(B17="","",COUNTIF('03 Personnes'!$D$9:$D$158,B17))</f>
      </c>
      <c r="E17" s="48">
        <f>IF(B17="","",IF(COUNTIF($B$9:$B$38,B17)&gt;1,"⚠ Nom en double","✓"))</f>
      </c>
    </row>
    <row r="18" ht="21" customHeight="1" spans="2:5" x14ac:dyDescent="0.25">
      <c r="B18" s="46"/>
      <c r="C18" s="46"/>
      <c r="D18" s="47">
        <f>IF(B18="","",COUNTIF('03 Personnes'!$D$9:$D$158,B18))</f>
      </c>
      <c r="E18" s="48">
        <f>IF(B18="","",IF(COUNTIF($B$9:$B$38,B18)&gt;1,"⚠ Nom en double","✓"))</f>
      </c>
    </row>
    <row r="19" ht="21" customHeight="1" spans="2:5" x14ac:dyDescent="0.25">
      <c r="B19" s="46"/>
      <c r="C19" s="46"/>
      <c r="D19" s="47">
        <f>IF(B19="","",COUNTIF('03 Personnes'!$D$9:$D$158,B19))</f>
      </c>
      <c r="E19" s="48">
        <f>IF(B19="","",IF(COUNTIF($B$9:$B$38,B19)&gt;1,"⚠ Nom en double","✓"))</f>
      </c>
    </row>
    <row r="20" ht="21" customHeight="1" spans="2:5" x14ac:dyDescent="0.25">
      <c r="B20" s="46"/>
      <c r="C20" s="46"/>
      <c r="D20" s="47">
        <f>IF(B20="","",COUNTIF('03 Personnes'!$D$9:$D$158,B20))</f>
      </c>
      <c r="E20" s="48">
        <f>IF(B20="","",IF(COUNTIF($B$9:$B$38,B20)&gt;1,"⚠ Nom en double","✓"))</f>
      </c>
    </row>
    <row r="21" ht="21" customHeight="1" spans="2:5" x14ac:dyDescent="0.25">
      <c r="B21" s="46"/>
      <c r="C21" s="46"/>
      <c r="D21" s="47">
        <f>IF(B21="","",COUNTIF('03 Personnes'!$D$9:$D$158,B21))</f>
      </c>
      <c r="E21" s="48">
        <f>IF(B21="","",IF(COUNTIF($B$9:$B$38,B21)&gt;1,"⚠ Nom en double","✓"))</f>
      </c>
    </row>
    <row r="22" ht="21" customHeight="1" spans="2:5" x14ac:dyDescent="0.25">
      <c r="B22" s="46"/>
      <c r="C22" s="46"/>
      <c r="D22" s="47">
        <f>IF(B22="","",COUNTIF('03 Personnes'!$D$9:$D$158,B22))</f>
      </c>
      <c r="E22" s="48">
        <f>IF(B22="","",IF(COUNTIF($B$9:$B$38,B22)&gt;1,"⚠ Nom en double","✓"))</f>
      </c>
    </row>
    <row r="23" ht="21" customHeight="1" spans="2:5" x14ac:dyDescent="0.25">
      <c r="B23" s="46"/>
      <c r="C23" s="46"/>
      <c r="D23" s="47">
        <f>IF(B23="","",COUNTIF('03 Personnes'!$D$9:$D$158,B23))</f>
      </c>
      <c r="E23" s="48">
        <f>IF(B23="","",IF(COUNTIF($B$9:$B$38,B23)&gt;1,"⚠ Nom en double","✓"))</f>
      </c>
    </row>
    <row r="24" ht="21" customHeight="1" spans="2:5" x14ac:dyDescent="0.25">
      <c r="B24" s="46"/>
      <c r="C24" s="46"/>
      <c r="D24" s="47">
        <f>IF(B24="","",COUNTIF('03 Personnes'!$D$9:$D$158,B24))</f>
      </c>
      <c r="E24" s="48">
        <f>IF(B24="","",IF(COUNTIF($B$9:$B$38,B24)&gt;1,"⚠ Nom en double","✓"))</f>
      </c>
    </row>
    <row r="25" ht="21" customHeight="1" spans="2:5" x14ac:dyDescent="0.25">
      <c r="B25" s="46"/>
      <c r="C25" s="46"/>
      <c r="D25" s="47">
        <f>IF(B25="","",COUNTIF('03 Personnes'!$D$9:$D$158,B25))</f>
      </c>
      <c r="E25" s="48">
        <f>IF(B25="","",IF(COUNTIF($B$9:$B$38,B25)&gt;1,"⚠ Nom en double","✓"))</f>
      </c>
    </row>
    <row r="26" ht="21" customHeight="1" spans="2:5" x14ac:dyDescent="0.25">
      <c r="B26" s="46"/>
      <c r="C26" s="46"/>
      <c r="D26" s="47">
        <f>IF(B26="","",COUNTIF('03 Personnes'!$D$9:$D$158,B26))</f>
      </c>
      <c r="E26" s="48">
        <f>IF(B26="","",IF(COUNTIF($B$9:$B$38,B26)&gt;1,"⚠ Nom en double","✓"))</f>
      </c>
    </row>
    <row r="27" ht="21" customHeight="1" spans="2:5" x14ac:dyDescent="0.25">
      <c r="B27" s="46"/>
      <c r="C27" s="46"/>
      <c r="D27" s="47">
        <f>IF(B27="","",COUNTIF('03 Personnes'!$D$9:$D$158,B27))</f>
      </c>
      <c r="E27" s="48">
        <f>IF(B27="","",IF(COUNTIF($B$9:$B$38,B27)&gt;1,"⚠ Nom en double","✓"))</f>
      </c>
    </row>
    <row r="28" ht="21" customHeight="1" spans="2:5" x14ac:dyDescent="0.25">
      <c r="B28" s="46"/>
      <c r="C28" s="46"/>
      <c r="D28" s="47">
        <f>IF(B28="","",COUNTIF('03 Personnes'!$D$9:$D$158,B28))</f>
      </c>
      <c r="E28" s="48">
        <f>IF(B28="","",IF(COUNTIF($B$9:$B$38,B28)&gt;1,"⚠ Nom en double","✓"))</f>
      </c>
    </row>
    <row r="29" ht="21" customHeight="1" spans="2:5" x14ac:dyDescent="0.25">
      <c r="B29" s="46"/>
      <c r="C29" s="46"/>
      <c r="D29" s="47">
        <f>IF(B29="","",COUNTIF('03 Personnes'!$D$9:$D$158,B29))</f>
      </c>
      <c r="E29" s="48">
        <f>IF(B29="","",IF(COUNTIF($B$9:$B$38,B29)&gt;1,"⚠ Nom en double","✓"))</f>
      </c>
    </row>
    <row r="30" ht="21" customHeight="1" spans="2:5" x14ac:dyDescent="0.25">
      <c r="B30" s="46"/>
      <c r="C30" s="46"/>
      <c r="D30" s="47">
        <f>IF(B30="","",COUNTIF('03 Personnes'!$D$9:$D$158,B30))</f>
      </c>
      <c r="E30" s="48">
        <f>IF(B30="","",IF(COUNTIF($B$9:$B$38,B30)&gt;1,"⚠ Nom en double","✓"))</f>
      </c>
    </row>
    <row r="31" ht="21" customHeight="1" spans="2:5" x14ac:dyDescent="0.25">
      <c r="B31" s="46"/>
      <c r="C31" s="46"/>
      <c r="D31" s="47">
        <f>IF(B31="","",COUNTIF('03 Personnes'!$D$9:$D$158,B31))</f>
      </c>
      <c r="E31" s="48">
        <f>IF(B31="","",IF(COUNTIF($B$9:$B$38,B31)&gt;1,"⚠ Nom en double","✓"))</f>
      </c>
    </row>
    <row r="32" ht="21" customHeight="1" spans="2:5" x14ac:dyDescent="0.25">
      <c r="B32" s="46"/>
      <c r="C32" s="46"/>
      <c r="D32" s="47">
        <f>IF(B32="","",COUNTIF('03 Personnes'!$D$9:$D$158,B32))</f>
      </c>
      <c r="E32" s="48">
        <f>IF(B32="","",IF(COUNTIF($B$9:$B$38,B32)&gt;1,"⚠ Nom en double","✓"))</f>
      </c>
    </row>
    <row r="33" ht="21" customHeight="1" spans="2:5" x14ac:dyDescent="0.25">
      <c r="B33" s="46"/>
      <c r="C33" s="46"/>
      <c r="D33" s="47">
        <f>IF(B33="","",COUNTIF('03 Personnes'!$D$9:$D$158,B33))</f>
      </c>
      <c r="E33" s="48">
        <f>IF(B33="","",IF(COUNTIF($B$9:$B$38,B33)&gt;1,"⚠ Nom en double","✓"))</f>
      </c>
    </row>
    <row r="34" ht="21" customHeight="1" spans="2:5" x14ac:dyDescent="0.25">
      <c r="B34" s="46"/>
      <c r="C34" s="46"/>
      <c r="D34" s="47">
        <f>IF(B34="","",COUNTIF('03 Personnes'!$D$9:$D$158,B34))</f>
      </c>
      <c r="E34" s="48">
        <f>IF(B34="","",IF(COUNTIF($B$9:$B$38,B34)&gt;1,"⚠ Nom en double","✓"))</f>
      </c>
    </row>
    <row r="35" ht="21" customHeight="1" spans="2:5" x14ac:dyDescent="0.25">
      <c r="B35" s="46"/>
      <c r="C35" s="46"/>
      <c r="D35" s="47">
        <f>IF(B35="","",COUNTIF('03 Personnes'!$D$9:$D$158,B35))</f>
      </c>
      <c r="E35" s="48">
        <f>IF(B35="","",IF(COUNTIF($B$9:$B$38,B35)&gt;1,"⚠ Nom en double","✓"))</f>
      </c>
    </row>
    <row r="36" ht="21" customHeight="1" spans="2:5" x14ac:dyDescent="0.25">
      <c r="B36" s="46"/>
      <c r="C36" s="46"/>
      <c r="D36" s="47">
        <f>IF(B36="","",COUNTIF('03 Personnes'!$D$9:$D$158,B36))</f>
      </c>
      <c r="E36" s="48">
        <f>IF(B36="","",IF(COUNTIF($B$9:$B$38,B36)&gt;1,"⚠ Nom en double","✓"))</f>
      </c>
    </row>
    <row r="37" ht="21" customHeight="1" spans="2:5" x14ac:dyDescent="0.25">
      <c r="B37" s="46"/>
      <c r="C37" s="46"/>
      <c r="D37" s="47">
        <f>IF(B37="","",COUNTIF('03 Personnes'!$D$9:$D$158,B37))</f>
      </c>
      <c r="E37" s="48">
        <f>IF(B37="","",IF(COUNTIF($B$9:$B$38,B37)&gt;1,"⚠ Nom en double","✓"))</f>
      </c>
    </row>
    <row r="38" ht="21" customHeight="1" spans="2:5" x14ac:dyDescent="0.25">
      <c r="B38" s="46"/>
      <c r="C38" s="46"/>
      <c r="D38" s="47">
        <f>IF(B38="","",COUNTIF('03 Personnes'!$D$9:$D$158,B38))</f>
      </c>
      <c r="E38" s="48">
        <f>IF(B38="","",IF(COUNTIF($B$9:$B$38,B38)&gt;1,"⚠ Nom en double","✓"))</f>
      </c>
    </row>
  </sheetData>
  <sheetProtection sheet="1" formatColumns="0" formatRows="0" sort="0" autoFilter="0"/>
  <autoFilter ref="B8:E8"/>
  <conditionalFormatting sqref="B9:B38">
    <cfRule type="expression" dxfId="3" priority="1">
      <formula>AND(OR($B9&lt;&gt;"",$C9&lt;&gt;""),B9="")</formula>
    </cfRule>
  </conditionalFormatting>
  <conditionalFormatting sqref="E9:E38">
    <cfRule type="containsText" dxfId="4" priority="2">
      <formula>NOT(ISERROR(SEARCH("⚠",E9)))</formula>
    </cfRule>
    <cfRule type="containsText" dxfId="5" priority="3">
      <formula>NOT(ISERROR(SEARCH("◔",E9)))</formula>
    </cfRule>
  </conditionalFormatting>
  <hyperlinks>
    <hyperlink ref="E3" r:id="rId1" location="#'Complétude'!A1"/>
  </hyperlinks>
  <pageMargins left="0.4" right="0.4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D8"/>
    <pageSetUpPr fitToPage="1"/>
  </sheetPr>
  <dimension ref="B1:D4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2" customWidth="1"/>
    <col min="3" max="3" width="56" customWidth="1"/>
    <col min="4" max="4" width="19" customWidth="1"/>
  </cols>
  <sheetData>
    <row r="1" ht="12" customHeight="1" x14ac:dyDescent="0.25"/>
    <row r="2" ht="34" customHeight="1" spans="2:4" x14ac:dyDescent="0.25">
      <c r="B2" s="1" t="s">
        <v>26</v>
      </c>
      <c r="D2" s="38">
        <f>'Complétude'!$I19</f>
      </c>
    </row>
    <row r="3" ht="18" customHeight="1" spans="2:4" x14ac:dyDescent="0.25">
      <c r="B3" s="2" t="s">
        <v>165</v>
      </c>
      <c r="D3" s="39" t="s">
        <v>156</v>
      </c>
    </row>
    <row r="4" ht="18" customHeight="1" spans="2:2" x14ac:dyDescent="0.25">
      <c r="B4" t="s">
        <v>166</v>
      </c>
    </row>
    <row r="5" ht="16" customHeight="1" spans="2:2" x14ac:dyDescent="0.25">
      <c r="B5" s="40" t="s">
        <v>167</v>
      </c>
    </row>
    <row r="6" ht="10" customHeight="1" x14ac:dyDescent="0.25"/>
    <row r="7" ht="15" customHeight="1" spans="2:4" x14ac:dyDescent="0.25">
      <c r="B7" s="41" t="s">
        <v>159</v>
      </c>
      <c r="C7" s="42" t="s">
        <v>160</v>
      </c>
      <c r="D7" s="43" t="s">
        <v>161</v>
      </c>
    </row>
    <row r="8" ht="26" customHeight="1" spans="2:4" x14ac:dyDescent="0.25">
      <c r="B8" s="44" t="s">
        <v>168</v>
      </c>
      <c r="C8" s="44" t="s">
        <v>164</v>
      </c>
      <c r="D8" s="45" t="s">
        <v>169</v>
      </c>
    </row>
    <row r="9" ht="21" customHeight="1" spans="2:4" x14ac:dyDescent="0.25">
      <c r="B9" s="46"/>
      <c r="C9" s="46"/>
      <c r="D9" s="47">
        <f>IF(B9="","",COUNTIFS('04 Affectations'!$C$9:$C$208,B9,'04 Affectations'!$G$9:$G$208,"Oui"))</f>
      </c>
    </row>
    <row r="10" ht="21" customHeight="1" spans="2:4" x14ac:dyDescent="0.25">
      <c r="B10" s="46"/>
      <c r="C10" s="46"/>
      <c r="D10" s="47">
        <f>IF(B10="","",COUNTIFS('04 Affectations'!$C$9:$C$208,B10,'04 Affectations'!$G$9:$G$208,"Oui"))</f>
      </c>
    </row>
    <row r="11" ht="21" customHeight="1" spans="2:4" x14ac:dyDescent="0.25">
      <c r="B11" s="46"/>
      <c r="C11" s="46"/>
      <c r="D11" s="47">
        <f>IF(B11="","",COUNTIFS('04 Affectations'!$C$9:$C$208,B11,'04 Affectations'!$G$9:$G$208,"Oui"))</f>
      </c>
    </row>
    <row r="12" ht="21" customHeight="1" spans="2:4" x14ac:dyDescent="0.25">
      <c r="B12" s="46"/>
      <c r="C12" s="46"/>
      <c r="D12" s="47">
        <f>IF(B12="","",COUNTIFS('04 Affectations'!$C$9:$C$208,B12,'04 Affectations'!$G$9:$G$208,"Oui"))</f>
      </c>
    </row>
    <row r="13" ht="21" customHeight="1" spans="2:4" x14ac:dyDescent="0.25">
      <c r="B13" s="46"/>
      <c r="C13" s="46"/>
      <c r="D13" s="47">
        <f>IF(B13="","",COUNTIFS('04 Affectations'!$C$9:$C$208,B13,'04 Affectations'!$G$9:$G$208,"Oui"))</f>
      </c>
    </row>
    <row r="14" ht="21" customHeight="1" spans="2:4" x14ac:dyDescent="0.25">
      <c r="B14" s="46"/>
      <c r="C14" s="46"/>
      <c r="D14" s="47">
        <f>IF(B14="","",COUNTIFS('04 Affectations'!$C$9:$C$208,B14,'04 Affectations'!$G$9:$G$208,"Oui"))</f>
      </c>
    </row>
    <row r="15" ht="21" customHeight="1" spans="2:4" x14ac:dyDescent="0.25">
      <c r="B15" s="46"/>
      <c r="C15" s="46"/>
      <c r="D15" s="47">
        <f>IF(B15="","",COUNTIFS('04 Affectations'!$C$9:$C$208,B15,'04 Affectations'!$G$9:$G$208,"Oui"))</f>
      </c>
    </row>
    <row r="16" ht="21" customHeight="1" spans="2:4" x14ac:dyDescent="0.25">
      <c r="B16" s="46"/>
      <c r="C16" s="46"/>
      <c r="D16" s="47">
        <f>IF(B16="","",COUNTIFS('04 Affectations'!$C$9:$C$208,B16,'04 Affectations'!$G$9:$G$208,"Oui"))</f>
      </c>
    </row>
    <row r="17" ht="21" customHeight="1" spans="2:4" x14ac:dyDescent="0.25">
      <c r="B17" s="46"/>
      <c r="C17" s="46"/>
      <c r="D17" s="47">
        <f>IF(B17="","",COUNTIFS('04 Affectations'!$C$9:$C$208,B17,'04 Affectations'!$G$9:$G$208,"Oui"))</f>
      </c>
    </row>
    <row r="18" ht="21" customHeight="1" spans="2:4" x14ac:dyDescent="0.25">
      <c r="B18" s="46"/>
      <c r="C18" s="46"/>
      <c r="D18" s="47">
        <f>IF(B18="","",COUNTIFS('04 Affectations'!$C$9:$C$208,B18,'04 Affectations'!$G$9:$G$208,"Oui"))</f>
      </c>
    </row>
    <row r="19" ht="21" customHeight="1" spans="2:4" x14ac:dyDescent="0.25">
      <c r="B19" s="46"/>
      <c r="C19" s="46"/>
      <c r="D19" s="47">
        <f>IF(B19="","",COUNTIFS('04 Affectations'!$C$9:$C$208,B19,'04 Affectations'!$G$9:$G$208,"Oui"))</f>
      </c>
    </row>
    <row r="20" ht="21" customHeight="1" spans="2:4" x14ac:dyDescent="0.25">
      <c r="B20" s="46"/>
      <c r="C20" s="46"/>
      <c r="D20" s="47">
        <f>IF(B20="","",COUNTIFS('04 Affectations'!$C$9:$C$208,B20,'04 Affectations'!$G$9:$G$208,"Oui"))</f>
      </c>
    </row>
    <row r="21" ht="21" customHeight="1" spans="2:4" x14ac:dyDescent="0.25">
      <c r="B21" s="46"/>
      <c r="C21" s="46"/>
      <c r="D21" s="47">
        <f>IF(B21="","",COUNTIFS('04 Affectations'!$C$9:$C$208,B21,'04 Affectations'!$G$9:$G$208,"Oui"))</f>
      </c>
    </row>
    <row r="22" ht="21" customHeight="1" spans="2:4" x14ac:dyDescent="0.25">
      <c r="B22" s="46"/>
      <c r="C22" s="46"/>
      <c r="D22" s="47">
        <f>IF(B22="","",COUNTIFS('04 Affectations'!$C$9:$C$208,B22,'04 Affectations'!$G$9:$G$208,"Oui"))</f>
      </c>
    </row>
    <row r="23" ht="21" customHeight="1" spans="2:4" x14ac:dyDescent="0.25">
      <c r="B23" s="46"/>
      <c r="C23" s="46"/>
      <c r="D23" s="47">
        <f>IF(B23="","",COUNTIFS('04 Affectations'!$C$9:$C$208,B23,'04 Affectations'!$G$9:$G$208,"Oui"))</f>
      </c>
    </row>
    <row r="24" ht="21" customHeight="1" spans="2:4" x14ac:dyDescent="0.25">
      <c r="B24" s="46"/>
      <c r="C24" s="46"/>
      <c r="D24" s="47">
        <f>IF(B24="","",COUNTIFS('04 Affectations'!$C$9:$C$208,B24,'04 Affectations'!$G$9:$G$208,"Oui"))</f>
      </c>
    </row>
    <row r="25" ht="21" customHeight="1" spans="2:4" x14ac:dyDescent="0.25">
      <c r="B25" s="46"/>
      <c r="C25" s="46"/>
      <c r="D25" s="47">
        <f>IF(B25="","",COUNTIFS('04 Affectations'!$C$9:$C$208,B25,'04 Affectations'!$G$9:$G$208,"Oui"))</f>
      </c>
    </row>
    <row r="26" ht="21" customHeight="1" spans="2:4" x14ac:dyDescent="0.25">
      <c r="B26" s="46"/>
      <c r="C26" s="46"/>
      <c r="D26" s="47">
        <f>IF(B26="","",COUNTIFS('04 Affectations'!$C$9:$C$208,B26,'04 Affectations'!$G$9:$G$208,"Oui"))</f>
      </c>
    </row>
    <row r="27" ht="21" customHeight="1" spans="2:4" x14ac:dyDescent="0.25">
      <c r="B27" s="46"/>
      <c r="C27" s="46"/>
      <c r="D27" s="47">
        <f>IF(B27="","",COUNTIFS('04 Affectations'!$C$9:$C$208,B27,'04 Affectations'!$G$9:$G$208,"Oui"))</f>
      </c>
    </row>
    <row r="28" ht="21" customHeight="1" spans="2:4" x14ac:dyDescent="0.25">
      <c r="B28" s="46"/>
      <c r="C28" s="46"/>
      <c r="D28" s="47">
        <f>IF(B28="","",COUNTIFS('04 Affectations'!$C$9:$C$208,B28,'04 Affectations'!$G$9:$G$208,"Oui"))</f>
      </c>
    </row>
    <row r="29" ht="21" customHeight="1" spans="2:4" x14ac:dyDescent="0.25">
      <c r="B29" s="46"/>
      <c r="C29" s="46"/>
      <c r="D29" s="47">
        <f>IF(B29="","",COUNTIFS('04 Affectations'!$C$9:$C$208,B29,'04 Affectations'!$G$9:$G$208,"Oui"))</f>
      </c>
    </row>
    <row r="30" ht="21" customHeight="1" spans="2:4" x14ac:dyDescent="0.25">
      <c r="B30" s="46"/>
      <c r="C30" s="46"/>
      <c r="D30" s="47">
        <f>IF(B30="","",COUNTIFS('04 Affectations'!$C$9:$C$208,B30,'04 Affectations'!$G$9:$G$208,"Oui"))</f>
      </c>
    </row>
    <row r="31" ht="21" customHeight="1" spans="2:4" x14ac:dyDescent="0.25">
      <c r="B31" s="46"/>
      <c r="C31" s="46"/>
      <c r="D31" s="47">
        <f>IF(B31="","",COUNTIFS('04 Affectations'!$C$9:$C$208,B31,'04 Affectations'!$G$9:$G$208,"Oui"))</f>
      </c>
    </row>
    <row r="32" ht="21" customHeight="1" spans="2:4" x14ac:dyDescent="0.25">
      <c r="B32" s="46"/>
      <c r="C32" s="46"/>
      <c r="D32" s="47">
        <f>IF(B32="","",COUNTIFS('04 Affectations'!$C$9:$C$208,B32,'04 Affectations'!$G$9:$G$208,"Oui"))</f>
      </c>
    </row>
    <row r="33" ht="21" customHeight="1" spans="2:4" x14ac:dyDescent="0.25">
      <c r="B33" s="46"/>
      <c r="C33" s="46"/>
      <c r="D33" s="47">
        <f>IF(B33="","",COUNTIFS('04 Affectations'!$C$9:$C$208,B33,'04 Affectations'!$G$9:$G$208,"Oui"))</f>
      </c>
    </row>
    <row r="34" ht="21" customHeight="1" spans="2:4" x14ac:dyDescent="0.25">
      <c r="B34" s="46"/>
      <c r="C34" s="46"/>
      <c r="D34" s="47">
        <f>IF(B34="","",COUNTIFS('04 Affectations'!$C$9:$C$208,B34,'04 Affectations'!$G$9:$G$208,"Oui"))</f>
      </c>
    </row>
    <row r="35" ht="21" customHeight="1" spans="2:4" x14ac:dyDescent="0.25">
      <c r="B35" s="46"/>
      <c r="C35" s="46"/>
      <c r="D35" s="47">
        <f>IF(B35="","",COUNTIFS('04 Affectations'!$C$9:$C$208,B35,'04 Affectations'!$G$9:$G$208,"Oui"))</f>
      </c>
    </row>
    <row r="36" ht="21" customHeight="1" spans="2:4" x14ac:dyDescent="0.25">
      <c r="B36" s="46"/>
      <c r="C36" s="46"/>
      <c r="D36" s="47">
        <f>IF(B36="","",COUNTIFS('04 Affectations'!$C$9:$C$208,B36,'04 Affectations'!$G$9:$G$208,"Oui"))</f>
      </c>
    </row>
    <row r="37" ht="21" customHeight="1" spans="2:4" x14ac:dyDescent="0.25">
      <c r="B37" s="46"/>
      <c r="C37" s="46"/>
      <c r="D37" s="47">
        <f>IF(B37="","",COUNTIFS('04 Affectations'!$C$9:$C$208,B37,'04 Affectations'!$G$9:$G$208,"Oui"))</f>
      </c>
    </row>
    <row r="38" ht="21" customHeight="1" spans="2:4" x14ac:dyDescent="0.25">
      <c r="B38" s="46"/>
      <c r="C38" s="46"/>
      <c r="D38" s="47">
        <f>IF(B38="","",COUNTIFS('04 Affectations'!$C$9:$C$208,B38,'04 Affectations'!$G$9:$G$208,"Oui"))</f>
      </c>
    </row>
    <row r="39" ht="21" customHeight="1" spans="2:4" x14ac:dyDescent="0.25">
      <c r="B39" s="46"/>
      <c r="C39" s="46"/>
      <c r="D39" s="47">
        <f>IF(B39="","",COUNTIFS('04 Affectations'!$C$9:$C$208,B39,'04 Affectations'!$G$9:$G$208,"Oui"))</f>
      </c>
    </row>
    <row r="40" ht="21" customHeight="1" spans="2:4" x14ac:dyDescent="0.25">
      <c r="B40" s="46"/>
      <c r="C40" s="46"/>
      <c r="D40" s="47">
        <f>IF(B40="","",COUNTIFS('04 Affectations'!$C$9:$C$208,B40,'04 Affectations'!$G$9:$G$208,"Oui"))</f>
      </c>
    </row>
    <row r="41" ht="21" customHeight="1" spans="2:4" x14ac:dyDescent="0.25">
      <c r="B41" s="46"/>
      <c r="C41" s="46"/>
      <c r="D41" s="47">
        <f>IF(B41="","",COUNTIFS('04 Affectations'!$C$9:$C$208,B41,'04 Affectations'!$G$9:$G$208,"Oui"))</f>
      </c>
    </row>
    <row r="42" ht="21" customHeight="1" spans="2:4" x14ac:dyDescent="0.25">
      <c r="B42" s="46"/>
      <c r="C42" s="46"/>
      <c r="D42" s="47">
        <f>IF(B42="","",COUNTIFS('04 Affectations'!$C$9:$C$208,B42,'04 Affectations'!$G$9:$G$208,"Oui"))</f>
      </c>
    </row>
    <row r="43" ht="21" customHeight="1" spans="2:4" x14ac:dyDescent="0.25">
      <c r="B43" s="46"/>
      <c r="C43" s="46"/>
      <c r="D43" s="47">
        <f>IF(B43="","",COUNTIFS('04 Affectations'!$C$9:$C$208,B43,'04 Affectations'!$G$9:$G$208,"Oui"))</f>
      </c>
    </row>
    <row r="44" ht="21" customHeight="1" spans="2:4" x14ac:dyDescent="0.25">
      <c r="B44" s="46"/>
      <c r="C44" s="46"/>
      <c r="D44" s="47">
        <f>IF(B44="","",COUNTIFS('04 Affectations'!$C$9:$C$208,B44,'04 Affectations'!$G$9:$G$208,"Oui"))</f>
      </c>
    </row>
    <row r="45" ht="21" customHeight="1" spans="2:4" x14ac:dyDescent="0.25">
      <c r="B45" s="46"/>
      <c r="C45" s="46"/>
      <c r="D45" s="47">
        <f>IF(B45="","",COUNTIFS('04 Affectations'!$C$9:$C$208,B45,'04 Affectations'!$G$9:$G$208,"Oui"))</f>
      </c>
    </row>
    <row r="46" ht="21" customHeight="1" spans="2:4" x14ac:dyDescent="0.25">
      <c r="B46" s="46"/>
      <c r="C46" s="46"/>
      <c r="D46" s="47">
        <f>IF(B46="","",COUNTIFS('04 Affectations'!$C$9:$C$208,B46,'04 Affectations'!$G$9:$G$208,"Oui"))</f>
      </c>
    </row>
    <row r="47" ht="21" customHeight="1" spans="2:4" x14ac:dyDescent="0.25">
      <c r="B47" s="46"/>
      <c r="C47" s="46"/>
      <c r="D47" s="47">
        <f>IF(B47="","",COUNTIFS('04 Affectations'!$C$9:$C$208,B47,'04 Affectations'!$G$9:$G$208,"Oui"))</f>
      </c>
    </row>
    <row r="48" ht="21" customHeight="1" spans="2:4" x14ac:dyDescent="0.25">
      <c r="B48" s="46"/>
      <c r="C48" s="46"/>
      <c r="D48" s="47">
        <f>IF(B48="","",COUNTIFS('04 Affectations'!$C$9:$C$208,B48,'04 Affectations'!$G$9:$G$208,"Oui"))</f>
      </c>
    </row>
  </sheetData>
  <sheetProtection sheet="1" formatColumns="0" formatRows="0" sort="0" autoFilter="0"/>
  <autoFilter ref="B8:D8"/>
  <conditionalFormatting sqref="B9:B48">
    <cfRule type="expression" dxfId="6" priority="1">
      <formula>AND(OR($B9&lt;&gt;"",$C9&lt;&gt;""),B9="")</formula>
    </cfRule>
  </conditionalFormatting>
  <hyperlinks>
    <hyperlink ref="D3" r:id="rId1" location="#'Complétude'!A1"/>
  </hyperlinks>
  <pageMargins left="0.4" right="0.4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D8"/>
    <pageSetUpPr fitToPage="1"/>
  </sheetPr>
  <dimension ref="B1:H15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4" customWidth="1"/>
    <col min="3" max="3" width="30" customWidth="1"/>
    <col min="4" max="4" width="24" customWidth="1"/>
    <col min="5" max="5" width="28" customWidth="1"/>
    <col min="6" max="6" width="16" customWidth="1"/>
    <col min="8" max="8" width="22" customWidth="1"/>
  </cols>
  <sheetData>
    <row r="1" ht="12" customHeight="1" x14ac:dyDescent="0.25"/>
    <row r="2" ht="34" customHeight="1" spans="2:8" x14ac:dyDescent="0.25">
      <c r="B2" s="1" t="s">
        <v>29</v>
      </c>
      <c r="H2" s="38">
        <f>'Complétude'!$I20</f>
      </c>
    </row>
    <row r="3" ht="18" customHeight="1" spans="2:8" x14ac:dyDescent="0.25">
      <c r="B3" s="2" t="s">
        <v>170</v>
      </c>
      <c r="H3" s="39" t="s">
        <v>156</v>
      </c>
    </row>
    <row r="4" ht="18" customHeight="1" spans="2:2" x14ac:dyDescent="0.25">
      <c r="B4" t="s">
        <v>171</v>
      </c>
    </row>
    <row r="5" ht="16" customHeight="1" spans="2:2" x14ac:dyDescent="0.25">
      <c r="B5" s="40" t="s">
        <v>172</v>
      </c>
    </row>
    <row r="6" ht="10" customHeight="1" x14ac:dyDescent="0.25"/>
    <row r="7" ht="15" customHeight="1" spans="2:8" x14ac:dyDescent="0.25">
      <c r="B7" s="41" t="s">
        <v>159</v>
      </c>
      <c r="C7" s="41" t="s">
        <v>159</v>
      </c>
      <c r="D7" s="41" t="s">
        <v>173</v>
      </c>
      <c r="E7" s="42" t="s">
        <v>160</v>
      </c>
      <c r="F7" s="41" t="s">
        <v>173</v>
      </c>
      <c r="G7" s="42" t="s">
        <v>174</v>
      </c>
      <c r="H7" s="43" t="s">
        <v>162</v>
      </c>
    </row>
    <row r="8" ht="26" customHeight="1" spans="2:8" x14ac:dyDescent="0.25">
      <c r="B8" s="44" t="s">
        <v>175</v>
      </c>
      <c r="C8" s="44" t="s">
        <v>176</v>
      </c>
      <c r="D8" s="44" t="s">
        <v>79</v>
      </c>
      <c r="E8" s="44" t="s">
        <v>177</v>
      </c>
      <c r="F8" s="44" t="s">
        <v>87</v>
      </c>
      <c r="G8" s="44" t="s">
        <v>178</v>
      </c>
      <c r="H8" s="45" t="s">
        <v>150</v>
      </c>
    </row>
    <row r="9" ht="21" customHeight="1" spans="2:8" x14ac:dyDescent="0.25">
      <c r="B9" s="46"/>
      <c r="C9" s="46"/>
      <c r="D9" s="46"/>
      <c r="E9" s="46"/>
      <c r="F9" s="46"/>
      <c r="G9" s="46"/>
      <c r="H9" s="48">
        <f>IF(B9="","",IF(COUNTIF($B$9:$B$158,B9)&gt;1,"⚠ Nom en double",IF(AND(C9&lt;&gt;"",ISERROR(FIND("@",C9))),"⚠ Email invalide",IF(AND(C9&lt;&gt;"",COUNTIF($C$9:$C$158,C9)&gt;1),"⚠ Email en double","✓"))))</f>
      </c>
    </row>
    <row r="10" ht="21" customHeight="1" spans="2:8" x14ac:dyDescent="0.25">
      <c r="B10" s="46"/>
      <c r="C10" s="46"/>
      <c r="D10" s="46"/>
      <c r="E10" s="46"/>
      <c r="F10" s="46"/>
      <c r="G10" s="46"/>
      <c r="H10" s="48">
        <f>IF(B10="","",IF(COUNTIF($B$9:$B$158,B10)&gt;1,"⚠ Nom en double",IF(AND(C10&lt;&gt;"",ISERROR(FIND("@",C10))),"⚠ Email invalide",IF(AND(C10&lt;&gt;"",COUNTIF($C$9:$C$158,C10)&gt;1),"⚠ Email en double","✓"))))</f>
      </c>
    </row>
    <row r="11" ht="21" customHeight="1" spans="2:8" x14ac:dyDescent="0.25">
      <c r="B11" s="46"/>
      <c r="C11" s="46"/>
      <c r="D11" s="46"/>
      <c r="E11" s="46"/>
      <c r="F11" s="46"/>
      <c r="G11" s="46"/>
      <c r="H11" s="48">
        <f>IF(B11="","",IF(COUNTIF($B$9:$B$158,B11)&gt;1,"⚠ Nom en double",IF(AND(C11&lt;&gt;"",ISERROR(FIND("@",C11))),"⚠ Email invalide",IF(AND(C11&lt;&gt;"",COUNTIF($C$9:$C$158,C11)&gt;1),"⚠ Email en double","✓"))))</f>
      </c>
    </row>
    <row r="12" ht="21" customHeight="1" spans="2:8" x14ac:dyDescent="0.25">
      <c r="B12" s="46"/>
      <c r="C12" s="46"/>
      <c r="D12" s="46"/>
      <c r="E12" s="46"/>
      <c r="F12" s="46"/>
      <c r="G12" s="46"/>
      <c r="H12" s="48">
        <f>IF(B12="","",IF(COUNTIF($B$9:$B$158,B12)&gt;1,"⚠ Nom en double",IF(AND(C12&lt;&gt;"",ISERROR(FIND("@",C12))),"⚠ Email invalide",IF(AND(C12&lt;&gt;"",COUNTIF($C$9:$C$158,C12)&gt;1),"⚠ Email en double","✓"))))</f>
      </c>
    </row>
    <row r="13" ht="21" customHeight="1" spans="2:8" x14ac:dyDescent="0.25">
      <c r="B13" s="46"/>
      <c r="C13" s="46"/>
      <c r="D13" s="46"/>
      <c r="E13" s="46"/>
      <c r="F13" s="46"/>
      <c r="G13" s="46"/>
      <c r="H13" s="48">
        <f>IF(B13="","",IF(COUNTIF($B$9:$B$158,B13)&gt;1,"⚠ Nom en double",IF(AND(C13&lt;&gt;"",ISERROR(FIND("@",C13))),"⚠ Email invalide",IF(AND(C13&lt;&gt;"",COUNTIF($C$9:$C$158,C13)&gt;1),"⚠ Email en double","✓"))))</f>
      </c>
    </row>
    <row r="14" ht="21" customHeight="1" spans="2:8" x14ac:dyDescent="0.25">
      <c r="B14" s="46"/>
      <c r="C14" s="46"/>
      <c r="D14" s="46"/>
      <c r="E14" s="46"/>
      <c r="F14" s="46"/>
      <c r="G14" s="46"/>
      <c r="H14" s="48">
        <f>IF(B14="","",IF(COUNTIF($B$9:$B$158,B14)&gt;1,"⚠ Nom en double",IF(AND(C14&lt;&gt;"",ISERROR(FIND("@",C14))),"⚠ Email invalide",IF(AND(C14&lt;&gt;"",COUNTIF($C$9:$C$158,C14)&gt;1),"⚠ Email en double","✓"))))</f>
      </c>
    </row>
    <row r="15" ht="21" customHeight="1" spans="2:8" x14ac:dyDescent="0.25">
      <c r="B15" s="46"/>
      <c r="C15" s="46"/>
      <c r="D15" s="46"/>
      <c r="E15" s="46"/>
      <c r="F15" s="46"/>
      <c r="G15" s="46"/>
      <c r="H15" s="48">
        <f>IF(B15="","",IF(COUNTIF($B$9:$B$158,B15)&gt;1,"⚠ Nom en double",IF(AND(C15&lt;&gt;"",ISERROR(FIND("@",C15))),"⚠ Email invalide",IF(AND(C15&lt;&gt;"",COUNTIF($C$9:$C$158,C15)&gt;1),"⚠ Email en double","✓"))))</f>
      </c>
    </row>
    <row r="16" ht="21" customHeight="1" spans="2:8" x14ac:dyDescent="0.25">
      <c r="B16" s="46"/>
      <c r="C16" s="46"/>
      <c r="D16" s="46"/>
      <c r="E16" s="46"/>
      <c r="F16" s="46"/>
      <c r="G16" s="46"/>
      <c r="H16" s="48">
        <f>IF(B16="","",IF(COUNTIF($B$9:$B$158,B16)&gt;1,"⚠ Nom en double",IF(AND(C16&lt;&gt;"",ISERROR(FIND("@",C16))),"⚠ Email invalide",IF(AND(C16&lt;&gt;"",COUNTIF($C$9:$C$158,C16)&gt;1),"⚠ Email en double","✓"))))</f>
      </c>
    </row>
    <row r="17" ht="21" customHeight="1" spans="2:8" x14ac:dyDescent="0.25">
      <c r="B17" s="46"/>
      <c r="C17" s="46"/>
      <c r="D17" s="46"/>
      <c r="E17" s="46"/>
      <c r="F17" s="46"/>
      <c r="G17" s="46"/>
      <c r="H17" s="48">
        <f>IF(B17="","",IF(COUNTIF($B$9:$B$158,B17)&gt;1,"⚠ Nom en double",IF(AND(C17&lt;&gt;"",ISERROR(FIND("@",C17))),"⚠ Email invalide",IF(AND(C17&lt;&gt;"",COUNTIF($C$9:$C$158,C17)&gt;1),"⚠ Email en double","✓"))))</f>
      </c>
    </row>
    <row r="18" ht="21" customHeight="1" spans="2:8" x14ac:dyDescent="0.25">
      <c r="B18" s="46"/>
      <c r="C18" s="46"/>
      <c r="D18" s="46"/>
      <c r="E18" s="46"/>
      <c r="F18" s="46"/>
      <c r="G18" s="46"/>
      <c r="H18" s="48">
        <f>IF(B18="","",IF(COUNTIF($B$9:$B$158,B18)&gt;1,"⚠ Nom en double",IF(AND(C18&lt;&gt;"",ISERROR(FIND("@",C18))),"⚠ Email invalide",IF(AND(C18&lt;&gt;"",COUNTIF($C$9:$C$158,C18)&gt;1),"⚠ Email en double","✓"))))</f>
      </c>
    </row>
    <row r="19" ht="21" customHeight="1" spans="2:8" x14ac:dyDescent="0.25">
      <c r="B19" s="46"/>
      <c r="C19" s="46"/>
      <c r="D19" s="46"/>
      <c r="E19" s="46"/>
      <c r="F19" s="46"/>
      <c r="G19" s="46"/>
      <c r="H19" s="48">
        <f>IF(B19="","",IF(COUNTIF($B$9:$B$158,B19)&gt;1,"⚠ Nom en double",IF(AND(C19&lt;&gt;"",ISERROR(FIND("@",C19))),"⚠ Email invalide",IF(AND(C19&lt;&gt;"",COUNTIF($C$9:$C$158,C19)&gt;1),"⚠ Email en double","✓"))))</f>
      </c>
    </row>
    <row r="20" ht="21" customHeight="1" spans="2:8" x14ac:dyDescent="0.25">
      <c r="B20" s="46"/>
      <c r="C20" s="46"/>
      <c r="D20" s="46"/>
      <c r="E20" s="46"/>
      <c r="F20" s="46"/>
      <c r="G20" s="46"/>
      <c r="H20" s="48">
        <f>IF(B20="","",IF(COUNTIF($B$9:$B$158,B20)&gt;1,"⚠ Nom en double",IF(AND(C20&lt;&gt;"",ISERROR(FIND("@",C20))),"⚠ Email invalide",IF(AND(C20&lt;&gt;"",COUNTIF($C$9:$C$158,C20)&gt;1),"⚠ Email en double","✓"))))</f>
      </c>
    </row>
    <row r="21" ht="21" customHeight="1" spans="2:8" x14ac:dyDescent="0.25">
      <c r="B21" s="46"/>
      <c r="C21" s="46"/>
      <c r="D21" s="46"/>
      <c r="E21" s="46"/>
      <c r="F21" s="46"/>
      <c r="G21" s="46"/>
      <c r="H21" s="48">
        <f>IF(B21="","",IF(COUNTIF($B$9:$B$158,B21)&gt;1,"⚠ Nom en double",IF(AND(C21&lt;&gt;"",ISERROR(FIND("@",C21))),"⚠ Email invalide",IF(AND(C21&lt;&gt;"",COUNTIF($C$9:$C$158,C21)&gt;1),"⚠ Email en double","✓"))))</f>
      </c>
    </row>
    <row r="22" ht="21" customHeight="1" spans="2:8" x14ac:dyDescent="0.25">
      <c r="B22" s="46"/>
      <c r="C22" s="46"/>
      <c r="D22" s="46"/>
      <c r="E22" s="46"/>
      <c r="F22" s="46"/>
      <c r="G22" s="46"/>
      <c r="H22" s="48">
        <f>IF(B22="","",IF(COUNTIF($B$9:$B$158,B22)&gt;1,"⚠ Nom en double",IF(AND(C22&lt;&gt;"",ISERROR(FIND("@",C22))),"⚠ Email invalide",IF(AND(C22&lt;&gt;"",COUNTIF($C$9:$C$158,C22)&gt;1),"⚠ Email en double","✓"))))</f>
      </c>
    </row>
    <row r="23" ht="21" customHeight="1" spans="2:8" x14ac:dyDescent="0.25">
      <c r="B23" s="46"/>
      <c r="C23" s="46"/>
      <c r="D23" s="46"/>
      <c r="E23" s="46"/>
      <c r="F23" s="46"/>
      <c r="G23" s="46"/>
      <c r="H23" s="48">
        <f>IF(B23="","",IF(COUNTIF($B$9:$B$158,B23)&gt;1,"⚠ Nom en double",IF(AND(C23&lt;&gt;"",ISERROR(FIND("@",C23))),"⚠ Email invalide",IF(AND(C23&lt;&gt;"",COUNTIF($C$9:$C$158,C23)&gt;1),"⚠ Email en double","✓"))))</f>
      </c>
    </row>
    <row r="24" ht="21" customHeight="1" spans="2:8" x14ac:dyDescent="0.25">
      <c r="B24" s="46"/>
      <c r="C24" s="46"/>
      <c r="D24" s="46"/>
      <c r="E24" s="46"/>
      <c r="F24" s="46"/>
      <c r="G24" s="46"/>
      <c r="H24" s="48">
        <f>IF(B24="","",IF(COUNTIF($B$9:$B$158,B24)&gt;1,"⚠ Nom en double",IF(AND(C24&lt;&gt;"",ISERROR(FIND("@",C24))),"⚠ Email invalide",IF(AND(C24&lt;&gt;"",COUNTIF($C$9:$C$158,C24)&gt;1),"⚠ Email en double","✓"))))</f>
      </c>
    </row>
    <row r="25" ht="21" customHeight="1" spans="2:8" x14ac:dyDescent="0.25">
      <c r="B25" s="46"/>
      <c r="C25" s="46"/>
      <c r="D25" s="46"/>
      <c r="E25" s="46"/>
      <c r="F25" s="46"/>
      <c r="G25" s="46"/>
      <c r="H25" s="48">
        <f>IF(B25="","",IF(COUNTIF($B$9:$B$158,B25)&gt;1,"⚠ Nom en double",IF(AND(C25&lt;&gt;"",ISERROR(FIND("@",C25))),"⚠ Email invalide",IF(AND(C25&lt;&gt;"",COUNTIF($C$9:$C$158,C25)&gt;1),"⚠ Email en double","✓"))))</f>
      </c>
    </row>
    <row r="26" ht="21" customHeight="1" spans="2:8" x14ac:dyDescent="0.25">
      <c r="B26" s="46"/>
      <c r="C26" s="46"/>
      <c r="D26" s="46"/>
      <c r="E26" s="46"/>
      <c r="F26" s="46"/>
      <c r="G26" s="46"/>
      <c r="H26" s="48">
        <f>IF(B26="","",IF(COUNTIF($B$9:$B$158,B26)&gt;1,"⚠ Nom en double",IF(AND(C26&lt;&gt;"",ISERROR(FIND("@",C26))),"⚠ Email invalide",IF(AND(C26&lt;&gt;"",COUNTIF($C$9:$C$158,C26)&gt;1),"⚠ Email en double","✓"))))</f>
      </c>
    </row>
    <row r="27" ht="21" customHeight="1" spans="2:8" x14ac:dyDescent="0.25">
      <c r="B27" s="46"/>
      <c r="C27" s="46"/>
      <c r="D27" s="46"/>
      <c r="E27" s="46"/>
      <c r="F27" s="46"/>
      <c r="G27" s="46"/>
      <c r="H27" s="48">
        <f>IF(B27="","",IF(COUNTIF($B$9:$B$158,B27)&gt;1,"⚠ Nom en double",IF(AND(C27&lt;&gt;"",ISERROR(FIND("@",C27))),"⚠ Email invalide",IF(AND(C27&lt;&gt;"",COUNTIF($C$9:$C$158,C27)&gt;1),"⚠ Email en double","✓"))))</f>
      </c>
    </row>
    <row r="28" ht="21" customHeight="1" spans="2:8" x14ac:dyDescent="0.25">
      <c r="B28" s="46"/>
      <c r="C28" s="46"/>
      <c r="D28" s="46"/>
      <c r="E28" s="46"/>
      <c r="F28" s="46"/>
      <c r="G28" s="46"/>
      <c r="H28" s="48">
        <f>IF(B28="","",IF(COUNTIF($B$9:$B$158,B28)&gt;1,"⚠ Nom en double",IF(AND(C28&lt;&gt;"",ISERROR(FIND("@",C28))),"⚠ Email invalide",IF(AND(C28&lt;&gt;"",COUNTIF($C$9:$C$158,C28)&gt;1),"⚠ Email en double","✓"))))</f>
      </c>
    </row>
    <row r="29" ht="21" customHeight="1" spans="2:8" x14ac:dyDescent="0.25">
      <c r="B29" s="46"/>
      <c r="C29" s="46"/>
      <c r="D29" s="46"/>
      <c r="E29" s="46"/>
      <c r="F29" s="46"/>
      <c r="G29" s="46"/>
      <c r="H29" s="48">
        <f>IF(B29="","",IF(COUNTIF($B$9:$B$158,B29)&gt;1,"⚠ Nom en double",IF(AND(C29&lt;&gt;"",ISERROR(FIND("@",C29))),"⚠ Email invalide",IF(AND(C29&lt;&gt;"",COUNTIF($C$9:$C$158,C29)&gt;1),"⚠ Email en double","✓"))))</f>
      </c>
    </row>
    <row r="30" ht="21" customHeight="1" spans="2:8" x14ac:dyDescent="0.25">
      <c r="B30" s="46"/>
      <c r="C30" s="46"/>
      <c r="D30" s="46"/>
      <c r="E30" s="46"/>
      <c r="F30" s="46"/>
      <c r="G30" s="46"/>
      <c r="H30" s="48">
        <f>IF(B30="","",IF(COUNTIF($B$9:$B$158,B30)&gt;1,"⚠ Nom en double",IF(AND(C30&lt;&gt;"",ISERROR(FIND("@",C30))),"⚠ Email invalide",IF(AND(C30&lt;&gt;"",COUNTIF($C$9:$C$158,C30)&gt;1),"⚠ Email en double","✓"))))</f>
      </c>
    </row>
    <row r="31" ht="21" customHeight="1" spans="2:8" x14ac:dyDescent="0.25">
      <c r="B31" s="46"/>
      <c r="C31" s="46"/>
      <c r="D31" s="46"/>
      <c r="E31" s="46"/>
      <c r="F31" s="46"/>
      <c r="G31" s="46"/>
      <c r="H31" s="48">
        <f>IF(B31="","",IF(COUNTIF($B$9:$B$158,B31)&gt;1,"⚠ Nom en double",IF(AND(C31&lt;&gt;"",ISERROR(FIND("@",C31))),"⚠ Email invalide",IF(AND(C31&lt;&gt;"",COUNTIF($C$9:$C$158,C31)&gt;1),"⚠ Email en double","✓"))))</f>
      </c>
    </row>
    <row r="32" ht="21" customHeight="1" spans="2:8" x14ac:dyDescent="0.25">
      <c r="B32" s="46"/>
      <c r="C32" s="46"/>
      <c r="D32" s="46"/>
      <c r="E32" s="46"/>
      <c r="F32" s="46"/>
      <c r="G32" s="46"/>
      <c r="H32" s="48">
        <f>IF(B32="","",IF(COUNTIF($B$9:$B$158,B32)&gt;1,"⚠ Nom en double",IF(AND(C32&lt;&gt;"",ISERROR(FIND("@",C32))),"⚠ Email invalide",IF(AND(C32&lt;&gt;"",COUNTIF($C$9:$C$158,C32)&gt;1),"⚠ Email en double","✓"))))</f>
      </c>
    </row>
    <row r="33" ht="21" customHeight="1" spans="2:8" x14ac:dyDescent="0.25">
      <c r="B33" s="46"/>
      <c r="C33" s="46"/>
      <c r="D33" s="46"/>
      <c r="E33" s="46"/>
      <c r="F33" s="46"/>
      <c r="G33" s="46"/>
      <c r="H33" s="48">
        <f>IF(B33="","",IF(COUNTIF($B$9:$B$158,B33)&gt;1,"⚠ Nom en double",IF(AND(C33&lt;&gt;"",ISERROR(FIND("@",C33))),"⚠ Email invalide",IF(AND(C33&lt;&gt;"",COUNTIF($C$9:$C$158,C33)&gt;1),"⚠ Email en double","✓"))))</f>
      </c>
    </row>
    <row r="34" ht="21" customHeight="1" spans="2:8" x14ac:dyDescent="0.25">
      <c r="B34" s="46"/>
      <c r="C34" s="46"/>
      <c r="D34" s="46"/>
      <c r="E34" s="46"/>
      <c r="F34" s="46"/>
      <c r="G34" s="46"/>
      <c r="H34" s="48">
        <f>IF(B34="","",IF(COUNTIF($B$9:$B$158,B34)&gt;1,"⚠ Nom en double",IF(AND(C34&lt;&gt;"",ISERROR(FIND("@",C34))),"⚠ Email invalide",IF(AND(C34&lt;&gt;"",COUNTIF($C$9:$C$158,C34)&gt;1),"⚠ Email en double","✓"))))</f>
      </c>
    </row>
    <row r="35" ht="21" customHeight="1" spans="2:8" x14ac:dyDescent="0.25">
      <c r="B35" s="46"/>
      <c r="C35" s="46"/>
      <c r="D35" s="46"/>
      <c r="E35" s="46"/>
      <c r="F35" s="46"/>
      <c r="G35" s="46"/>
      <c r="H35" s="48">
        <f>IF(B35="","",IF(COUNTIF($B$9:$B$158,B35)&gt;1,"⚠ Nom en double",IF(AND(C35&lt;&gt;"",ISERROR(FIND("@",C35))),"⚠ Email invalide",IF(AND(C35&lt;&gt;"",COUNTIF($C$9:$C$158,C35)&gt;1),"⚠ Email en double","✓"))))</f>
      </c>
    </row>
    <row r="36" ht="21" customHeight="1" spans="2:8" x14ac:dyDescent="0.25">
      <c r="B36" s="46"/>
      <c r="C36" s="46"/>
      <c r="D36" s="46"/>
      <c r="E36" s="46"/>
      <c r="F36" s="46"/>
      <c r="G36" s="46"/>
      <c r="H36" s="48">
        <f>IF(B36="","",IF(COUNTIF($B$9:$B$158,B36)&gt;1,"⚠ Nom en double",IF(AND(C36&lt;&gt;"",ISERROR(FIND("@",C36))),"⚠ Email invalide",IF(AND(C36&lt;&gt;"",COUNTIF($C$9:$C$158,C36)&gt;1),"⚠ Email en double","✓"))))</f>
      </c>
    </row>
    <row r="37" ht="21" customHeight="1" spans="2:8" x14ac:dyDescent="0.25">
      <c r="B37" s="46"/>
      <c r="C37" s="46"/>
      <c r="D37" s="46"/>
      <c r="E37" s="46"/>
      <c r="F37" s="46"/>
      <c r="G37" s="46"/>
      <c r="H37" s="48">
        <f>IF(B37="","",IF(COUNTIF($B$9:$B$158,B37)&gt;1,"⚠ Nom en double",IF(AND(C37&lt;&gt;"",ISERROR(FIND("@",C37))),"⚠ Email invalide",IF(AND(C37&lt;&gt;"",COUNTIF($C$9:$C$158,C37)&gt;1),"⚠ Email en double","✓"))))</f>
      </c>
    </row>
    <row r="38" ht="21" customHeight="1" spans="2:8" x14ac:dyDescent="0.25">
      <c r="B38" s="46"/>
      <c r="C38" s="46"/>
      <c r="D38" s="46"/>
      <c r="E38" s="46"/>
      <c r="F38" s="46"/>
      <c r="G38" s="46"/>
      <c r="H38" s="48">
        <f>IF(B38="","",IF(COUNTIF($B$9:$B$158,B38)&gt;1,"⚠ Nom en double",IF(AND(C38&lt;&gt;"",ISERROR(FIND("@",C38))),"⚠ Email invalide",IF(AND(C38&lt;&gt;"",COUNTIF($C$9:$C$158,C38)&gt;1),"⚠ Email en double","✓"))))</f>
      </c>
    </row>
    <row r="39" ht="21" customHeight="1" spans="2:8" x14ac:dyDescent="0.25">
      <c r="B39" s="46"/>
      <c r="C39" s="46"/>
      <c r="D39" s="46"/>
      <c r="E39" s="46"/>
      <c r="F39" s="46"/>
      <c r="G39" s="46"/>
      <c r="H39" s="48">
        <f>IF(B39="","",IF(COUNTIF($B$9:$B$158,B39)&gt;1,"⚠ Nom en double",IF(AND(C39&lt;&gt;"",ISERROR(FIND("@",C39))),"⚠ Email invalide",IF(AND(C39&lt;&gt;"",COUNTIF($C$9:$C$158,C39)&gt;1),"⚠ Email en double","✓"))))</f>
      </c>
    </row>
    <row r="40" ht="21" customHeight="1" spans="2:8" x14ac:dyDescent="0.25">
      <c r="B40" s="46"/>
      <c r="C40" s="46"/>
      <c r="D40" s="46"/>
      <c r="E40" s="46"/>
      <c r="F40" s="46"/>
      <c r="G40" s="46"/>
      <c r="H40" s="48">
        <f>IF(B40="","",IF(COUNTIF($B$9:$B$158,B40)&gt;1,"⚠ Nom en double",IF(AND(C40&lt;&gt;"",ISERROR(FIND("@",C40))),"⚠ Email invalide",IF(AND(C40&lt;&gt;"",COUNTIF($C$9:$C$158,C40)&gt;1),"⚠ Email en double","✓"))))</f>
      </c>
    </row>
    <row r="41" ht="21" customHeight="1" spans="2:8" x14ac:dyDescent="0.25">
      <c r="B41" s="46"/>
      <c r="C41" s="46"/>
      <c r="D41" s="46"/>
      <c r="E41" s="46"/>
      <c r="F41" s="46"/>
      <c r="G41" s="46"/>
      <c r="H41" s="48">
        <f>IF(B41="","",IF(COUNTIF($B$9:$B$158,B41)&gt;1,"⚠ Nom en double",IF(AND(C41&lt;&gt;"",ISERROR(FIND("@",C41))),"⚠ Email invalide",IF(AND(C41&lt;&gt;"",COUNTIF($C$9:$C$158,C41)&gt;1),"⚠ Email en double","✓"))))</f>
      </c>
    </row>
    <row r="42" ht="21" customHeight="1" spans="2:8" x14ac:dyDescent="0.25">
      <c r="B42" s="46"/>
      <c r="C42" s="46"/>
      <c r="D42" s="46"/>
      <c r="E42" s="46"/>
      <c r="F42" s="46"/>
      <c r="G42" s="46"/>
      <c r="H42" s="48">
        <f>IF(B42="","",IF(COUNTIF($B$9:$B$158,B42)&gt;1,"⚠ Nom en double",IF(AND(C42&lt;&gt;"",ISERROR(FIND("@",C42))),"⚠ Email invalide",IF(AND(C42&lt;&gt;"",COUNTIF($C$9:$C$158,C42)&gt;1),"⚠ Email en double","✓"))))</f>
      </c>
    </row>
    <row r="43" ht="21" customHeight="1" spans="2:8" x14ac:dyDescent="0.25">
      <c r="B43" s="46"/>
      <c r="C43" s="46"/>
      <c r="D43" s="46"/>
      <c r="E43" s="46"/>
      <c r="F43" s="46"/>
      <c r="G43" s="46"/>
      <c r="H43" s="48">
        <f>IF(B43="","",IF(COUNTIF($B$9:$B$158,B43)&gt;1,"⚠ Nom en double",IF(AND(C43&lt;&gt;"",ISERROR(FIND("@",C43))),"⚠ Email invalide",IF(AND(C43&lt;&gt;"",COUNTIF($C$9:$C$158,C43)&gt;1),"⚠ Email en double","✓"))))</f>
      </c>
    </row>
    <row r="44" ht="21" customHeight="1" spans="2:8" x14ac:dyDescent="0.25">
      <c r="B44" s="46"/>
      <c r="C44" s="46"/>
      <c r="D44" s="46"/>
      <c r="E44" s="46"/>
      <c r="F44" s="46"/>
      <c r="G44" s="46"/>
      <c r="H44" s="48">
        <f>IF(B44="","",IF(COUNTIF($B$9:$B$158,B44)&gt;1,"⚠ Nom en double",IF(AND(C44&lt;&gt;"",ISERROR(FIND("@",C44))),"⚠ Email invalide",IF(AND(C44&lt;&gt;"",COUNTIF($C$9:$C$158,C44)&gt;1),"⚠ Email en double","✓"))))</f>
      </c>
    </row>
    <row r="45" ht="21" customHeight="1" spans="2:8" x14ac:dyDescent="0.25">
      <c r="B45" s="46"/>
      <c r="C45" s="46"/>
      <c r="D45" s="46"/>
      <c r="E45" s="46"/>
      <c r="F45" s="46"/>
      <c r="G45" s="46"/>
      <c r="H45" s="48">
        <f>IF(B45="","",IF(COUNTIF($B$9:$B$158,B45)&gt;1,"⚠ Nom en double",IF(AND(C45&lt;&gt;"",ISERROR(FIND("@",C45))),"⚠ Email invalide",IF(AND(C45&lt;&gt;"",COUNTIF($C$9:$C$158,C45)&gt;1),"⚠ Email en double","✓"))))</f>
      </c>
    </row>
    <row r="46" ht="21" customHeight="1" spans="2:8" x14ac:dyDescent="0.25">
      <c r="B46" s="46"/>
      <c r="C46" s="46"/>
      <c r="D46" s="46"/>
      <c r="E46" s="46"/>
      <c r="F46" s="46"/>
      <c r="G46" s="46"/>
      <c r="H46" s="48">
        <f>IF(B46="","",IF(COUNTIF($B$9:$B$158,B46)&gt;1,"⚠ Nom en double",IF(AND(C46&lt;&gt;"",ISERROR(FIND("@",C46))),"⚠ Email invalide",IF(AND(C46&lt;&gt;"",COUNTIF($C$9:$C$158,C46)&gt;1),"⚠ Email en double","✓"))))</f>
      </c>
    </row>
    <row r="47" ht="21" customHeight="1" spans="2:8" x14ac:dyDescent="0.25">
      <c r="B47" s="46"/>
      <c r="C47" s="46"/>
      <c r="D47" s="46"/>
      <c r="E47" s="46"/>
      <c r="F47" s="46"/>
      <c r="G47" s="46"/>
      <c r="H47" s="48">
        <f>IF(B47="","",IF(COUNTIF($B$9:$B$158,B47)&gt;1,"⚠ Nom en double",IF(AND(C47&lt;&gt;"",ISERROR(FIND("@",C47))),"⚠ Email invalide",IF(AND(C47&lt;&gt;"",COUNTIF($C$9:$C$158,C47)&gt;1),"⚠ Email en double","✓"))))</f>
      </c>
    </row>
    <row r="48" ht="21" customHeight="1" spans="2:8" x14ac:dyDescent="0.25">
      <c r="B48" s="46"/>
      <c r="C48" s="46"/>
      <c r="D48" s="46"/>
      <c r="E48" s="46"/>
      <c r="F48" s="46"/>
      <c r="G48" s="46"/>
      <c r="H48" s="48">
        <f>IF(B48="","",IF(COUNTIF($B$9:$B$158,B48)&gt;1,"⚠ Nom en double",IF(AND(C48&lt;&gt;"",ISERROR(FIND("@",C48))),"⚠ Email invalide",IF(AND(C48&lt;&gt;"",COUNTIF($C$9:$C$158,C48)&gt;1),"⚠ Email en double","✓"))))</f>
      </c>
    </row>
    <row r="49" ht="21" customHeight="1" spans="2:8" x14ac:dyDescent="0.25">
      <c r="B49" s="46"/>
      <c r="C49" s="46"/>
      <c r="D49" s="46"/>
      <c r="E49" s="46"/>
      <c r="F49" s="46"/>
      <c r="G49" s="46"/>
      <c r="H49" s="48">
        <f>IF(B49="","",IF(COUNTIF($B$9:$B$158,B49)&gt;1,"⚠ Nom en double",IF(AND(C49&lt;&gt;"",ISERROR(FIND("@",C49))),"⚠ Email invalide",IF(AND(C49&lt;&gt;"",COUNTIF($C$9:$C$158,C49)&gt;1),"⚠ Email en double","✓"))))</f>
      </c>
    </row>
    <row r="50" ht="21" customHeight="1" spans="2:8" x14ac:dyDescent="0.25">
      <c r="B50" s="46"/>
      <c r="C50" s="46"/>
      <c r="D50" s="46"/>
      <c r="E50" s="46"/>
      <c r="F50" s="46"/>
      <c r="G50" s="46"/>
      <c r="H50" s="48">
        <f>IF(B50="","",IF(COUNTIF($B$9:$B$158,B50)&gt;1,"⚠ Nom en double",IF(AND(C50&lt;&gt;"",ISERROR(FIND("@",C50))),"⚠ Email invalide",IF(AND(C50&lt;&gt;"",COUNTIF($C$9:$C$158,C50)&gt;1),"⚠ Email en double","✓"))))</f>
      </c>
    </row>
    <row r="51" ht="21" customHeight="1" spans="2:8" x14ac:dyDescent="0.25">
      <c r="B51" s="46"/>
      <c r="C51" s="46"/>
      <c r="D51" s="46"/>
      <c r="E51" s="46"/>
      <c r="F51" s="46"/>
      <c r="G51" s="46"/>
      <c r="H51" s="48">
        <f>IF(B51="","",IF(COUNTIF($B$9:$B$158,B51)&gt;1,"⚠ Nom en double",IF(AND(C51&lt;&gt;"",ISERROR(FIND("@",C51))),"⚠ Email invalide",IF(AND(C51&lt;&gt;"",COUNTIF($C$9:$C$158,C51)&gt;1),"⚠ Email en double","✓"))))</f>
      </c>
    </row>
    <row r="52" ht="21" customHeight="1" spans="2:8" x14ac:dyDescent="0.25">
      <c r="B52" s="46"/>
      <c r="C52" s="46"/>
      <c r="D52" s="46"/>
      <c r="E52" s="46"/>
      <c r="F52" s="46"/>
      <c r="G52" s="46"/>
      <c r="H52" s="48">
        <f>IF(B52="","",IF(COUNTIF($B$9:$B$158,B52)&gt;1,"⚠ Nom en double",IF(AND(C52&lt;&gt;"",ISERROR(FIND("@",C52))),"⚠ Email invalide",IF(AND(C52&lt;&gt;"",COUNTIF($C$9:$C$158,C52)&gt;1),"⚠ Email en double","✓"))))</f>
      </c>
    </row>
    <row r="53" ht="21" customHeight="1" spans="2:8" x14ac:dyDescent="0.25">
      <c r="B53" s="46"/>
      <c r="C53" s="46"/>
      <c r="D53" s="46"/>
      <c r="E53" s="46"/>
      <c r="F53" s="46"/>
      <c r="G53" s="46"/>
      <c r="H53" s="48">
        <f>IF(B53="","",IF(COUNTIF($B$9:$B$158,B53)&gt;1,"⚠ Nom en double",IF(AND(C53&lt;&gt;"",ISERROR(FIND("@",C53))),"⚠ Email invalide",IF(AND(C53&lt;&gt;"",COUNTIF($C$9:$C$158,C53)&gt;1),"⚠ Email en double","✓"))))</f>
      </c>
    </row>
    <row r="54" ht="21" customHeight="1" spans="2:8" x14ac:dyDescent="0.25">
      <c r="B54" s="46"/>
      <c r="C54" s="46"/>
      <c r="D54" s="46"/>
      <c r="E54" s="46"/>
      <c r="F54" s="46"/>
      <c r="G54" s="46"/>
      <c r="H54" s="48">
        <f>IF(B54="","",IF(COUNTIF($B$9:$B$158,B54)&gt;1,"⚠ Nom en double",IF(AND(C54&lt;&gt;"",ISERROR(FIND("@",C54))),"⚠ Email invalide",IF(AND(C54&lt;&gt;"",COUNTIF($C$9:$C$158,C54)&gt;1),"⚠ Email en double","✓"))))</f>
      </c>
    </row>
    <row r="55" ht="21" customHeight="1" spans="2:8" x14ac:dyDescent="0.25">
      <c r="B55" s="46"/>
      <c r="C55" s="46"/>
      <c r="D55" s="46"/>
      <c r="E55" s="46"/>
      <c r="F55" s="46"/>
      <c r="G55" s="46"/>
      <c r="H55" s="48">
        <f>IF(B55="","",IF(COUNTIF($B$9:$B$158,B55)&gt;1,"⚠ Nom en double",IF(AND(C55&lt;&gt;"",ISERROR(FIND("@",C55))),"⚠ Email invalide",IF(AND(C55&lt;&gt;"",COUNTIF($C$9:$C$158,C55)&gt;1),"⚠ Email en double","✓"))))</f>
      </c>
    </row>
    <row r="56" ht="21" customHeight="1" spans="2:8" x14ac:dyDescent="0.25">
      <c r="B56" s="46"/>
      <c r="C56" s="46"/>
      <c r="D56" s="46"/>
      <c r="E56" s="46"/>
      <c r="F56" s="46"/>
      <c r="G56" s="46"/>
      <c r="H56" s="48">
        <f>IF(B56="","",IF(COUNTIF($B$9:$B$158,B56)&gt;1,"⚠ Nom en double",IF(AND(C56&lt;&gt;"",ISERROR(FIND("@",C56))),"⚠ Email invalide",IF(AND(C56&lt;&gt;"",COUNTIF($C$9:$C$158,C56)&gt;1),"⚠ Email en double","✓"))))</f>
      </c>
    </row>
    <row r="57" ht="21" customHeight="1" spans="2:8" x14ac:dyDescent="0.25">
      <c r="B57" s="46"/>
      <c r="C57" s="46"/>
      <c r="D57" s="46"/>
      <c r="E57" s="46"/>
      <c r="F57" s="46"/>
      <c r="G57" s="46"/>
      <c r="H57" s="48">
        <f>IF(B57="","",IF(COUNTIF($B$9:$B$158,B57)&gt;1,"⚠ Nom en double",IF(AND(C57&lt;&gt;"",ISERROR(FIND("@",C57))),"⚠ Email invalide",IF(AND(C57&lt;&gt;"",COUNTIF($C$9:$C$158,C57)&gt;1),"⚠ Email en double","✓"))))</f>
      </c>
    </row>
    <row r="58" ht="21" customHeight="1" spans="2:8" x14ac:dyDescent="0.25">
      <c r="B58" s="46"/>
      <c r="C58" s="46"/>
      <c r="D58" s="46"/>
      <c r="E58" s="46"/>
      <c r="F58" s="46"/>
      <c r="G58" s="46"/>
      <c r="H58" s="48">
        <f>IF(B58="","",IF(COUNTIF($B$9:$B$158,B58)&gt;1,"⚠ Nom en double",IF(AND(C58&lt;&gt;"",ISERROR(FIND("@",C58))),"⚠ Email invalide",IF(AND(C58&lt;&gt;"",COUNTIF($C$9:$C$158,C58)&gt;1),"⚠ Email en double","✓"))))</f>
      </c>
    </row>
    <row r="59" ht="21" customHeight="1" spans="2:8" x14ac:dyDescent="0.25">
      <c r="B59" s="46"/>
      <c r="C59" s="46"/>
      <c r="D59" s="46"/>
      <c r="E59" s="46"/>
      <c r="F59" s="46"/>
      <c r="G59" s="46"/>
      <c r="H59" s="48">
        <f>IF(B59="","",IF(COUNTIF($B$9:$B$158,B59)&gt;1,"⚠ Nom en double",IF(AND(C59&lt;&gt;"",ISERROR(FIND("@",C59))),"⚠ Email invalide",IF(AND(C59&lt;&gt;"",COUNTIF($C$9:$C$158,C59)&gt;1),"⚠ Email en double","✓"))))</f>
      </c>
    </row>
    <row r="60" ht="21" customHeight="1" spans="2:8" x14ac:dyDescent="0.25">
      <c r="B60" s="46"/>
      <c r="C60" s="46"/>
      <c r="D60" s="46"/>
      <c r="E60" s="46"/>
      <c r="F60" s="46"/>
      <c r="G60" s="46"/>
      <c r="H60" s="48">
        <f>IF(B60="","",IF(COUNTIF($B$9:$B$158,B60)&gt;1,"⚠ Nom en double",IF(AND(C60&lt;&gt;"",ISERROR(FIND("@",C60))),"⚠ Email invalide",IF(AND(C60&lt;&gt;"",COUNTIF($C$9:$C$158,C60)&gt;1),"⚠ Email en double","✓"))))</f>
      </c>
    </row>
    <row r="61" ht="21" customHeight="1" spans="2:8" x14ac:dyDescent="0.25">
      <c r="B61" s="46"/>
      <c r="C61" s="46"/>
      <c r="D61" s="46"/>
      <c r="E61" s="46"/>
      <c r="F61" s="46"/>
      <c r="G61" s="46"/>
      <c r="H61" s="48">
        <f>IF(B61="","",IF(COUNTIF($B$9:$B$158,B61)&gt;1,"⚠ Nom en double",IF(AND(C61&lt;&gt;"",ISERROR(FIND("@",C61))),"⚠ Email invalide",IF(AND(C61&lt;&gt;"",COUNTIF($C$9:$C$158,C61)&gt;1),"⚠ Email en double","✓"))))</f>
      </c>
    </row>
    <row r="62" ht="21" customHeight="1" spans="2:8" x14ac:dyDescent="0.25">
      <c r="B62" s="46"/>
      <c r="C62" s="46"/>
      <c r="D62" s="46"/>
      <c r="E62" s="46"/>
      <c r="F62" s="46"/>
      <c r="G62" s="46"/>
      <c r="H62" s="48">
        <f>IF(B62="","",IF(COUNTIF($B$9:$B$158,B62)&gt;1,"⚠ Nom en double",IF(AND(C62&lt;&gt;"",ISERROR(FIND("@",C62))),"⚠ Email invalide",IF(AND(C62&lt;&gt;"",COUNTIF($C$9:$C$158,C62)&gt;1),"⚠ Email en double","✓"))))</f>
      </c>
    </row>
    <row r="63" ht="21" customHeight="1" spans="2:8" x14ac:dyDescent="0.25">
      <c r="B63" s="46"/>
      <c r="C63" s="46"/>
      <c r="D63" s="46"/>
      <c r="E63" s="46"/>
      <c r="F63" s="46"/>
      <c r="G63" s="46"/>
      <c r="H63" s="48">
        <f>IF(B63="","",IF(COUNTIF($B$9:$B$158,B63)&gt;1,"⚠ Nom en double",IF(AND(C63&lt;&gt;"",ISERROR(FIND("@",C63))),"⚠ Email invalide",IF(AND(C63&lt;&gt;"",COUNTIF($C$9:$C$158,C63)&gt;1),"⚠ Email en double","✓"))))</f>
      </c>
    </row>
    <row r="64" ht="21" customHeight="1" spans="2:8" x14ac:dyDescent="0.25">
      <c r="B64" s="46"/>
      <c r="C64" s="46"/>
      <c r="D64" s="46"/>
      <c r="E64" s="46"/>
      <c r="F64" s="46"/>
      <c r="G64" s="46"/>
      <c r="H64" s="48">
        <f>IF(B64="","",IF(COUNTIF($B$9:$B$158,B64)&gt;1,"⚠ Nom en double",IF(AND(C64&lt;&gt;"",ISERROR(FIND("@",C64))),"⚠ Email invalide",IF(AND(C64&lt;&gt;"",COUNTIF($C$9:$C$158,C64)&gt;1),"⚠ Email en double","✓"))))</f>
      </c>
    </row>
    <row r="65" ht="21" customHeight="1" spans="2:8" x14ac:dyDescent="0.25">
      <c r="B65" s="46"/>
      <c r="C65" s="46"/>
      <c r="D65" s="46"/>
      <c r="E65" s="46"/>
      <c r="F65" s="46"/>
      <c r="G65" s="46"/>
      <c r="H65" s="48">
        <f>IF(B65="","",IF(COUNTIF($B$9:$B$158,B65)&gt;1,"⚠ Nom en double",IF(AND(C65&lt;&gt;"",ISERROR(FIND("@",C65))),"⚠ Email invalide",IF(AND(C65&lt;&gt;"",COUNTIF($C$9:$C$158,C65)&gt;1),"⚠ Email en double","✓"))))</f>
      </c>
    </row>
    <row r="66" ht="21" customHeight="1" spans="2:8" x14ac:dyDescent="0.25">
      <c r="B66" s="46"/>
      <c r="C66" s="46"/>
      <c r="D66" s="46"/>
      <c r="E66" s="46"/>
      <c r="F66" s="46"/>
      <c r="G66" s="46"/>
      <c r="H66" s="48">
        <f>IF(B66="","",IF(COUNTIF($B$9:$B$158,B66)&gt;1,"⚠ Nom en double",IF(AND(C66&lt;&gt;"",ISERROR(FIND("@",C66))),"⚠ Email invalide",IF(AND(C66&lt;&gt;"",COUNTIF($C$9:$C$158,C66)&gt;1),"⚠ Email en double","✓"))))</f>
      </c>
    </row>
    <row r="67" ht="21" customHeight="1" spans="2:8" x14ac:dyDescent="0.25">
      <c r="B67" s="46"/>
      <c r="C67" s="46"/>
      <c r="D67" s="46"/>
      <c r="E67" s="46"/>
      <c r="F67" s="46"/>
      <c r="G67" s="46"/>
      <c r="H67" s="48">
        <f>IF(B67="","",IF(COUNTIF($B$9:$B$158,B67)&gt;1,"⚠ Nom en double",IF(AND(C67&lt;&gt;"",ISERROR(FIND("@",C67))),"⚠ Email invalide",IF(AND(C67&lt;&gt;"",COUNTIF($C$9:$C$158,C67)&gt;1),"⚠ Email en double","✓"))))</f>
      </c>
    </row>
    <row r="68" ht="21" customHeight="1" spans="2:8" x14ac:dyDescent="0.25">
      <c r="B68" s="46"/>
      <c r="C68" s="46"/>
      <c r="D68" s="46"/>
      <c r="E68" s="46"/>
      <c r="F68" s="46"/>
      <c r="G68" s="46"/>
      <c r="H68" s="48">
        <f>IF(B68="","",IF(COUNTIF($B$9:$B$158,B68)&gt;1,"⚠ Nom en double",IF(AND(C68&lt;&gt;"",ISERROR(FIND("@",C68))),"⚠ Email invalide",IF(AND(C68&lt;&gt;"",COUNTIF($C$9:$C$158,C68)&gt;1),"⚠ Email en double","✓"))))</f>
      </c>
    </row>
    <row r="69" ht="21" customHeight="1" spans="2:8" x14ac:dyDescent="0.25">
      <c r="B69" s="46"/>
      <c r="C69" s="46"/>
      <c r="D69" s="46"/>
      <c r="E69" s="46"/>
      <c r="F69" s="46"/>
      <c r="G69" s="46"/>
      <c r="H69" s="48">
        <f>IF(B69="","",IF(COUNTIF($B$9:$B$158,B69)&gt;1,"⚠ Nom en double",IF(AND(C69&lt;&gt;"",ISERROR(FIND("@",C69))),"⚠ Email invalide",IF(AND(C69&lt;&gt;"",COUNTIF($C$9:$C$158,C69)&gt;1),"⚠ Email en double","✓"))))</f>
      </c>
    </row>
    <row r="70" ht="21" customHeight="1" spans="2:8" x14ac:dyDescent="0.25">
      <c r="B70" s="46"/>
      <c r="C70" s="46"/>
      <c r="D70" s="46"/>
      <c r="E70" s="46"/>
      <c r="F70" s="46"/>
      <c r="G70" s="46"/>
      <c r="H70" s="48">
        <f>IF(B70="","",IF(COUNTIF($B$9:$B$158,B70)&gt;1,"⚠ Nom en double",IF(AND(C70&lt;&gt;"",ISERROR(FIND("@",C70))),"⚠ Email invalide",IF(AND(C70&lt;&gt;"",COUNTIF($C$9:$C$158,C70)&gt;1),"⚠ Email en double","✓"))))</f>
      </c>
    </row>
    <row r="71" ht="21" customHeight="1" spans="2:8" x14ac:dyDescent="0.25">
      <c r="B71" s="46"/>
      <c r="C71" s="46"/>
      <c r="D71" s="46"/>
      <c r="E71" s="46"/>
      <c r="F71" s="46"/>
      <c r="G71" s="46"/>
      <c r="H71" s="48">
        <f>IF(B71="","",IF(COUNTIF($B$9:$B$158,B71)&gt;1,"⚠ Nom en double",IF(AND(C71&lt;&gt;"",ISERROR(FIND("@",C71))),"⚠ Email invalide",IF(AND(C71&lt;&gt;"",COUNTIF($C$9:$C$158,C71)&gt;1),"⚠ Email en double","✓"))))</f>
      </c>
    </row>
    <row r="72" ht="21" customHeight="1" spans="2:8" x14ac:dyDescent="0.25">
      <c r="B72" s="46"/>
      <c r="C72" s="46"/>
      <c r="D72" s="46"/>
      <c r="E72" s="46"/>
      <c r="F72" s="46"/>
      <c r="G72" s="46"/>
      <c r="H72" s="48">
        <f>IF(B72="","",IF(COUNTIF($B$9:$B$158,B72)&gt;1,"⚠ Nom en double",IF(AND(C72&lt;&gt;"",ISERROR(FIND("@",C72))),"⚠ Email invalide",IF(AND(C72&lt;&gt;"",COUNTIF($C$9:$C$158,C72)&gt;1),"⚠ Email en double","✓"))))</f>
      </c>
    </row>
    <row r="73" ht="21" customHeight="1" spans="2:8" x14ac:dyDescent="0.25">
      <c r="B73" s="46"/>
      <c r="C73" s="46"/>
      <c r="D73" s="46"/>
      <c r="E73" s="46"/>
      <c r="F73" s="46"/>
      <c r="G73" s="46"/>
      <c r="H73" s="48">
        <f>IF(B73="","",IF(COUNTIF($B$9:$B$158,B73)&gt;1,"⚠ Nom en double",IF(AND(C73&lt;&gt;"",ISERROR(FIND("@",C73))),"⚠ Email invalide",IF(AND(C73&lt;&gt;"",COUNTIF($C$9:$C$158,C73)&gt;1),"⚠ Email en double","✓"))))</f>
      </c>
    </row>
    <row r="74" ht="21" customHeight="1" spans="2:8" x14ac:dyDescent="0.25">
      <c r="B74" s="46"/>
      <c r="C74" s="46"/>
      <c r="D74" s="46"/>
      <c r="E74" s="46"/>
      <c r="F74" s="46"/>
      <c r="G74" s="46"/>
      <c r="H74" s="48">
        <f>IF(B74="","",IF(COUNTIF($B$9:$B$158,B74)&gt;1,"⚠ Nom en double",IF(AND(C74&lt;&gt;"",ISERROR(FIND("@",C74))),"⚠ Email invalide",IF(AND(C74&lt;&gt;"",COUNTIF($C$9:$C$158,C74)&gt;1),"⚠ Email en double","✓"))))</f>
      </c>
    </row>
    <row r="75" ht="21" customHeight="1" spans="2:8" x14ac:dyDescent="0.25">
      <c r="B75" s="46"/>
      <c r="C75" s="46"/>
      <c r="D75" s="46"/>
      <c r="E75" s="46"/>
      <c r="F75" s="46"/>
      <c r="G75" s="46"/>
      <c r="H75" s="48">
        <f>IF(B75="","",IF(COUNTIF($B$9:$B$158,B75)&gt;1,"⚠ Nom en double",IF(AND(C75&lt;&gt;"",ISERROR(FIND("@",C75))),"⚠ Email invalide",IF(AND(C75&lt;&gt;"",COUNTIF($C$9:$C$158,C75)&gt;1),"⚠ Email en double","✓"))))</f>
      </c>
    </row>
    <row r="76" ht="21" customHeight="1" spans="2:8" x14ac:dyDescent="0.25">
      <c r="B76" s="46"/>
      <c r="C76" s="46"/>
      <c r="D76" s="46"/>
      <c r="E76" s="46"/>
      <c r="F76" s="46"/>
      <c r="G76" s="46"/>
      <c r="H76" s="48">
        <f>IF(B76="","",IF(COUNTIF($B$9:$B$158,B76)&gt;1,"⚠ Nom en double",IF(AND(C76&lt;&gt;"",ISERROR(FIND("@",C76))),"⚠ Email invalide",IF(AND(C76&lt;&gt;"",COUNTIF($C$9:$C$158,C76)&gt;1),"⚠ Email en double","✓"))))</f>
      </c>
    </row>
    <row r="77" ht="21" customHeight="1" spans="2:8" x14ac:dyDescent="0.25">
      <c r="B77" s="46"/>
      <c r="C77" s="46"/>
      <c r="D77" s="46"/>
      <c r="E77" s="46"/>
      <c r="F77" s="46"/>
      <c r="G77" s="46"/>
      <c r="H77" s="48">
        <f>IF(B77="","",IF(COUNTIF($B$9:$B$158,B77)&gt;1,"⚠ Nom en double",IF(AND(C77&lt;&gt;"",ISERROR(FIND("@",C77))),"⚠ Email invalide",IF(AND(C77&lt;&gt;"",COUNTIF($C$9:$C$158,C77)&gt;1),"⚠ Email en double","✓"))))</f>
      </c>
    </row>
    <row r="78" ht="21" customHeight="1" spans="2:8" x14ac:dyDescent="0.25">
      <c r="B78" s="46"/>
      <c r="C78" s="46"/>
      <c r="D78" s="46"/>
      <c r="E78" s="46"/>
      <c r="F78" s="46"/>
      <c r="G78" s="46"/>
      <c r="H78" s="48">
        <f>IF(B78="","",IF(COUNTIF($B$9:$B$158,B78)&gt;1,"⚠ Nom en double",IF(AND(C78&lt;&gt;"",ISERROR(FIND("@",C78))),"⚠ Email invalide",IF(AND(C78&lt;&gt;"",COUNTIF($C$9:$C$158,C78)&gt;1),"⚠ Email en double","✓"))))</f>
      </c>
    </row>
    <row r="79" ht="21" customHeight="1" spans="2:8" x14ac:dyDescent="0.25">
      <c r="B79" s="46"/>
      <c r="C79" s="46"/>
      <c r="D79" s="46"/>
      <c r="E79" s="46"/>
      <c r="F79" s="46"/>
      <c r="G79" s="46"/>
      <c r="H79" s="48">
        <f>IF(B79="","",IF(COUNTIF($B$9:$B$158,B79)&gt;1,"⚠ Nom en double",IF(AND(C79&lt;&gt;"",ISERROR(FIND("@",C79))),"⚠ Email invalide",IF(AND(C79&lt;&gt;"",COUNTIF($C$9:$C$158,C79)&gt;1),"⚠ Email en double","✓"))))</f>
      </c>
    </row>
    <row r="80" ht="21" customHeight="1" spans="2:8" x14ac:dyDescent="0.25">
      <c r="B80" s="46"/>
      <c r="C80" s="46"/>
      <c r="D80" s="46"/>
      <c r="E80" s="46"/>
      <c r="F80" s="46"/>
      <c r="G80" s="46"/>
      <c r="H80" s="48">
        <f>IF(B80="","",IF(COUNTIF($B$9:$B$158,B80)&gt;1,"⚠ Nom en double",IF(AND(C80&lt;&gt;"",ISERROR(FIND("@",C80))),"⚠ Email invalide",IF(AND(C80&lt;&gt;"",COUNTIF($C$9:$C$158,C80)&gt;1),"⚠ Email en double","✓"))))</f>
      </c>
    </row>
    <row r="81" ht="21" customHeight="1" spans="2:8" x14ac:dyDescent="0.25">
      <c r="B81" s="46"/>
      <c r="C81" s="46"/>
      <c r="D81" s="46"/>
      <c r="E81" s="46"/>
      <c r="F81" s="46"/>
      <c r="G81" s="46"/>
      <c r="H81" s="48">
        <f>IF(B81="","",IF(COUNTIF($B$9:$B$158,B81)&gt;1,"⚠ Nom en double",IF(AND(C81&lt;&gt;"",ISERROR(FIND("@",C81))),"⚠ Email invalide",IF(AND(C81&lt;&gt;"",COUNTIF($C$9:$C$158,C81)&gt;1),"⚠ Email en double","✓"))))</f>
      </c>
    </row>
    <row r="82" ht="21" customHeight="1" spans="2:8" x14ac:dyDescent="0.25">
      <c r="B82" s="46"/>
      <c r="C82" s="46"/>
      <c r="D82" s="46"/>
      <c r="E82" s="46"/>
      <c r="F82" s="46"/>
      <c r="G82" s="46"/>
      <c r="H82" s="48">
        <f>IF(B82="","",IF(COUNTIF($B$9:$B$158,B82)&gt;1,"⚠ Nom en double",IF(AND(C82&lt;&gt;"",ISERROR(FIND("@",C82))),"⚠ Email invalide",IF(AND(C82&lt;&gt;"",COUNTIF($C$9:$C$158,C82)&gt;1),"⚠ Email en double","✓"))))</f>
      </c>
    </row>
    <row r="83" ht="21" customHeight="1" spans="2:8" x14ac:dyDescent="0.25">
      <c r="B83" s="46"/>
      <c r="C83" s="46"/>
      <c r="D83" s="46"/>
      <c r="E83" s="46"/>
      <c r="F83" s="46"/>
      <c r="G83" s="46"/>
      <c r="H83" s="48">
        <f>IF(B83="","",IF(COUNTIF($B$9:$B$158,B83)&gt;1,"⚠ Nom en double",IF(AND(C83&lt;&gt;"",ISERROR(FIND("@",C83))),"⚠ Email invalide",IF(AND(C83&lt;&gt;"",COUNTIF($C$9:$C$158,C83)&gt;1),"⚠ Email en double","✓"))))</f>
      </c>
    </row>
    <row r="84" ht="21" customHeight="1" spans="2:8" x14ac:dyDescent="0.25">
      <c r="B84" s="46"/>
      <c r="C84" s="46"/>
      <c r="D84" s="46"/>
      <c r="E84" s="46"/>
      <c r="F84" s="46"/>
      <c r="G84" s="46"/>
      <c r="H84" s="48">
        <f>IF(B84="","",IF(COUNTIF($B$9:$B$158,B84)&gt;1,"⚠ Nom en double",IF(AND(C84&lt;&gt;"",ISERROR(FIND("@",C84))),"⚠ Email invalide",IF(AND(C84&lt;&gt;"",COUNTIF($C$9:$C$158,C84)&gt;1),"⚠ Email en double","✓"))))</f>
      </c>
    </row>
    <row r="85" ht="21" customHeight="1" spans="2:8" x14ac:dyDescent="0.25">
      <c r="B85" s="46"/>
      <c r="C85" s="46"/>
      <c r="D85" s="46"/>
      <c r="E85" s="46"/>
      <c r="F85" s="46"/>
      <c r="G85" s="46"/>
      <c r="H85" s="48">
        <f>IF(B85="","",IF(COUNTIF($B$9:$B$158,B85)&gt;1,"⚠ Nom en double",IF(AND(C85&lt;&gt;"",ISERROR(FIND("@",C85))),"⚠ Email invalide",IF(AND(C85&lt;&gt;"",COUNTIF($C$9:$C$158,C85)&gt;1),"⚠ Email en double","✓"))))</f>
      </c>
    </row>
    <row r="86" ht="21" customHeight="1" spans="2:8" x14ac:dyDescent="0.25">
      <c r="B86" s="46"/>
      <c r="C86" s="46"/>
      <c r="D86" s="46"/>
      <c r="E86" s="46"/>
      <c r="F86" s="46"/>
      <c r="G86" s="46"/>
      <c r="H86" s="48">
        <f>IF(B86="","",IF(COUNTIF($B$9:$B$158,B86)&gt;1,"⚠ Nom en double",IF(AND(C86&lt;&gt;"",ISERROR(FIND("@",C86))),"⚠ Email invalide",IF(AND(C86&lt;&gt;"",COUNTIF($C$9:$C$158,C86)&gt;1),"⚠ Email en double","✓"))))</f>
      </c>
    </row>
    <row r="87" ht="21" customHeight="1" spans="2:8" x14ac:dyDescent="0.25">
      <c r="B87" s="46"/>
      <c r="C87" s="46"/>
      <c r="D87" s="46"/>
      <c r="E87" s="46"/>
      <c r="F87" s="46"/>
      <c r="G87" s="46"/>
      <c r="H87" s="48">
        <f>IF(B87="","",IF(COUNTIF($B$9:$B$158,B87)&gt;1,"⚠ Nom en double",IF(AND(C87&lt;&gt;"",ISERROR(FIND("@",C87))),"⚠ Email invalide",IF(AND(C87&lt;&gt;"",COUNTIF($C$9:$C$158,C87)&gt;1),"⚠ Email en double","✓"))))</f>
      </c>
    </row>
    <row r="88" ht="21" customHeight="1" spans="2:8" x14ac:dyDescent="0.25">
      <c r="B88" s="46"/>
      <c r="C88" s="46"/>
      <c r="D88" s="46"/>
      <c r="E88" s="46"/>
      <c r="F88" s="46"/>
      <c r="G88" s="46"/>
      <c r="H88" s="48">
        <f>IF(B88="","",IF(COUNTIF($B$9:$B$158,B88)&gt;1,"⚠ Nom en double",IF(AND(C88&lt;&gt;"",ISERROR(FIND("@",C88))),"⚠ Email invalide",IF(AND(C88&lt;&gt;"",COUNTIF($C$9:$C$158,C88)&gt;1),"⚠ Email en double","✓"))))</f>
      </c>
    </row>
    <row r="89" ht="21" customHeight="1" spans="2:8" x14ac:dyDescent="0.25">
      <c r="B89" s="46"/>
      <c r="C89" s="46"/>
      <c r="D89" s="46"/>
      <c r="E89" s="46"/>
      <c r="F89" s="46"/>
      <c r="G89" s="46"/>
      <c r="H89" s="48">
        <f>IF(B89="","",IF(COUNTIF($B$9:$B$158,B89)&gt;1,"⚠ Nom en double",IF(AND(C89&lt;&gt;"",ISERROR(FIND("@",C89))),"⚠ Email invalide",IF(AND(C89&lt;&gt;"",COUNTIF($C$9:$C$158,C89)&gt;1),"⚠ Email en double","✓"))))</f>
      </c>
    </row>
    <row r="90" ht="21" customHeight="1" spans="2:8" x14ac:dyDescent="0.25">
      <c r="B90" s="46"/>
      <c r="C90" s="46"/>
      <c r="D90" s="46"/>
      <c r="E90" s="46"/>
      <c r="F90" s="46"/>
      <c r="G90" s="46"/>
      <c r="H90" s="48">
        <f>IF(B90="","",IF(COUNTIF($B$9:$B$158,B90)&gt;1,"⚠ Nom en double",IF(AND(C90&lt;&gt;"",ISERROR(FIND("@",C90))),"⚠ Email invalide",IF(AND(C90&lt;&gt;"",COUNTIF($C$9:$C$158,C90)&gt;1),"⚠ Email en double","✓"))))</f>
      </c>
    </row>
    <row r="91" ht="21" customHeight="1" spans="2:8" x14ac:dyDescent="0.25">
      <c r="B91" s="46"/>
      <c r="C91" s="46"/>
      <c r="D91" s="46"/>
      <c r="E91" s="46"/>
      <c r="F91" s="46"/>
      <c r="G91" s="46"/>
      <c r="H91" s="48">
        <f>IF(B91="","",IF(COUNTIF($B$9:$B$158,B91)&gt;1,"⚠ Nom en double",IF(AND(C91&lt;&gt;"",ISERROR(FIND("@",C91))),"⚠ Email invalide",IF(AND(C91&lt;&gt;"",COUNTIF($C$9:$C$158,C91)&gt;1),"⚠ Email en double","✓"))))</f>
      </c>
    </row>
    <row r="92" ht="21" customHeight="1" spans="2:8" x14ac:dyDescent="0.25">
      <c r="B92" s="46"/>
      <c r="C92" s="46"/>
      <c r="D92" s="46"/>
      <c r="E92" s="46"/>
      <c r="F92" s="46"/>
      <c r="G92" s="46"/>
      <c r="H92" s="48">
        <f>IF(B92="","",IF(COUNTIF($B$9:$B$158,B92)&gt;1,"⚠ Nom en double",IF(AND(C92&lt;&gt;"",ISERROR(FIND("@",C92))),"⚠ Email invalide",IF(AND(C92&lt;&gt;"",COUNTIF($C$9:$C$158,C92)&gt;1),"⚠ Email en double","✓"))))</f>
      </c>
    </row>
    <row r="93" ht="21" customHeight="1" spans="2:8" x14ac:dyDescent="0.25">
      <c r="B93" s="46"/>
      <c r="C93" s="46"/>
      <c r="D93" s="46"/>
      <c r="E93" s="46"/>
      <c r="F93" s="46"/>
      <c r="G93" s="46"/>
      <c r="H93" s="48">
        <f>IF(B93="","",IF(COUNTIF($B$9:$B$158,B93)&gt;1,"⚠ Nom en double",IF(AND(C93&lt;&gt;"",ISERROR(FIND("@",C93))),"⚠ Email invalide",IF(AND(C93&lt;&gt;"",COUNTIF($C$9:$C$158,C93)&gt;1),"⚠ Email en double","✓"))))</f>
      </c>
    </row>
    <row r="94" ht="21" customHeight="1" spans="2:8" x14ac:dyDescent="0.25">
      <c r="B94" s="46"/>
      <c r="C94" s="46"/>
      <c r="D94" s="46"/>
      <c r="E94" s="46"/>
      <c r="F94" s="46"/>
      <c r="G94" s="46"/>
      <c r="H94" s="48">
        <f>IF(B94="","",IF(COUNTIF($B$9:$B$158,B94)&gt;1,"⚠ Nom en double",IF(AND(C94&lt;&gt;"",ISERROR(FIND("@",C94))),"⚠ Email invalide",IF(AND(C94&lt;&gt;"",COUNTIF($C$9:$C$158,C94)&gt;1),"⚠ Email en double","✓"))))</f>
      </c>
    </row>
    <row r="95" ht="21" customHeight="1" spans="2:8" x14ac:dyDescent="0.25">
      <c r="B95" s="46"/>
      <c r="C95" s="46"/>
      <c r="D95" s="46"/>
      <c r="E95" s="46"/>
      <c r="F95" s="46"/>
      <c r="G95" s="46"/>
      <c r="H95" s="48">
        <f>IF(B95="","",IF(COUNTIF($B$9:$B$158,B95)&gt;1,"⚠ Nom en double",IF(AND(C95&lt;&gt;"",ISERROR(FIND("@",C95))),"⚠ Email invalide",IF(AND(C95&lt;&gt;"",COUNTIF($C$9:$C$158,C95)&gt;1),"⚠ Email en double","✓"))))</f>
      </c>
    </row>
    <row r="96" ht="21" customHeight="1" spans="2:8" x14ac:dyDescent="0.25">
      <c r="B96" s="46"/>
      <c r="C96" s="46"/>
      <c r="D96" s="46"/>
      <c r="E96" s="46"/>
      <c r="F96" s="46"/>
      <c r="G96" s="46"/>
      <c r="H96" s="48">
        <f>IF(B96="","",IF(COUNTIF($B$9:$B$158,B96)&gt;1,"⚠ Nom en double",IF(AND(C96&lt;&gt;"",ISERROR(FIND("@",C96))),"⚠ Email invalide",IF(AND(C96&lt;&gt;"",COUNTIF($C$9:$C$158,C96)&gt;1),"⚠ Email en double","✓"))))</f>
      </c>
    </row>
    <row r="97" ht="21" customHeight="1" spans="2:8" x14ac:dyDescent="0.25">
      <c r="B97" s="46"/>
      <c r="C97" s="46"/>
      <c r="D97" s="46"/>
      <c r="E97" s="46"/>
      <c r="F97" s="46"/>
      <c r="G97" s="46"/>
      <c r="H97" s="48">
        <f>IF(B97="","",IF(COUNTIF($B$9:$B$158,B97)&gt;1,"⚠ Nom en double",IF(AND(C97&lt;&gt;"",ISERROR(FIND("@",C97))),"⚠ Email invalide",IF(AND(C97&lt;&gt;"",COUNTIF($C$9:$C$158,C97)&gt;1),"⚠ Email en double","✓"))))</f>
      </c>
    </row>
    <row r="98" ht="21" customHeight="1" spans="2:8" x14ac:dyDescent="0.25">
      <c r="B98" s="46"/>
      <c r="C98" s="46"/>
      <c r="D98" s="46"/>
      <c r="E98" s="46"/>
      <c r="F98" s="46"/>
      <c r="G98" s="46"/>
      <c r="H98" s="48">
        <f>IF(B98="","",IF(COUNTIF($B$9:$B$158,B98)&gt;1,"⚠ Nom en double",IF(AND(C98&lt;&gt;"",ISERROR(FIND("@",C98))),"⚠ Email invalide",IF(AND(C98&lt;&gt;"",COUNTIF($C$9:$C$158,C98)&gt;1),"⚠ Email en double","✓"))))</f>
      </c>
    </row>
    <row r="99" ht="21" customHeight="1" spans="2:8" x14ac:dyDescent="0.25">
      <c r="B99" s="46"/>
      <c r="C99" s="46"/>
      <c r="D99" s="46"/>
      <c r="E99" s="46"/>
      <c r="F99" s="46"/>
      <c r="G99" s="46"/>
      <c r="H99" s="48">
        <f>IF(B99="","",IF(COUNTIF($B$9:$B$158,B99)&gt;1,"⚠ Nom en double",IF(AND(C99&lt;&gt;"",ISERROR(FIND("@",C99))),"⚠ Email invalide",IF(AND(C99&lt;&gt;"",COUNTIF($C$9:$C$158,C99)&gt;1),"⚠ Email en double","✓"))))</f>
      </c>
    </row>
    <row r="100" ht="21" customHeight="1" spans="2:8" x14ac:dyDescent="0.25">
      <c r="B100" s="46"/>
      <c r="C100" s="46"/>
      <c r="D100" s="46"/>
      <c r="E100" s="46"/>
      <c r="F100" s="46"/>
      <c r="G100" s="46"/>
      <c r="H100" s="48">
        <f>IF(B100="","",IF(COUNTIF($B$9:$B$158,B100)&gt;1,"⚠ Nom en double",IF(AND(C100&lt;&gt;"",ISERROR(FIND("@",C100))),"⚠ Email invalide",IF(AND(C100&lt;&gt;"",COUNTIF($C$9:$C$158,C100)&gt;1),"⚠ Email en double","✓"))))</f>
      </c>
    </row>
    <row r="101" ht="21" customHeight="1" spans="2:8" x14ac:dyDescent="0.25">
      <c r="B101" s="46"/>
      <c r="C101" s="46"/>
      <c r="D101" s="46"/>
      <c r="E101" s="46"/>
      <c r="F101" s="46"/>
      <c r="G101" s="46"/>
      <c r="H101" s="48">
        <f>IF(B101="","",IF(COUNTIF($B$9:$B$158,B101)&gt;1,"⚠ Nom en double",IF(AND(C101&lt;&gt;"",ISERROR(FIND("@",C101))),"⚠ Email invalide",IF(AND(C101&lt;&gt;"",COUNTIF($C$9:$C$158,C101)&gt;1),"⚠ Email en double","✓"))))</f>
      </c>
    </row>
    <row r="102" ht="21" customHeight="1" spans="2:8" x14ac:dyDescent="0.25">
      <c r="B102" s="46"/>
      <c r="C102" s="46"/>
      <c r="D102" s="46"/>
      <c r="E102" s="46"/>
      <c r="F102" s="46"/>
      <c r="G102" s="46"/>
      <c r="H102" s="48">
        <f>IF(B102="","",IF(COUNTIF($B$9:$B$158,B102)&gt;1,"⚠ Nom en double",IF(AND(C102&lt;&gt;"",ISERROR(FIND("@",C102))),"⚠ Email invalide",IF(AND(C102&lt;&gt;"",COUNTIF($C$9:$C$158,C102)&gt;1),"⚠ Email en double","✓"))))</f>
      </c>
    </row>
    <row r="103" ht="21" customHeight="1" spans="2:8" x14ac:dyDescent="0.25">
      <c r="B103" s="46"/>
      <c r="C103" s="46"/>
      <c r="D103" s="46"/>
      <c r="E103" s="46"/>
      <c r="F103" s="46"/>
      <c r="G103" s="46"/>
      <c r="H103" s="48">
        <f>IF(B103="","",IF(COUNTIF($B$9:$B$158,B103)&gt;1,"⚠ Nom en double",IF(AND(C103&lt;&gt;"",ISERROR(FIND("@",C103))),"⚠ Email invalide",IF(AND(C103&lt;&gt;"",COUNTIF($C$9:$C$158,C103)&gt;1),"⚠ Email en double","✓"))))</f>
      </c>
    </row>
    <row r="104" ht="21" customHeight="1" spans="2:8" x14ac:dyDescent="0.25">
      <c r="B104" s="46"/>
      <c r="C104" s="46"/>
      <c r="D104" s="46"/>
      <c r="E104" s="46"/>
      <c r="F104" s="46"/>
      <c r="G104" s="46"/>
      <c r="H104" s="48">
        <f>IF(B104="","",IF(COUNTIF($B$9:$B$158,B104)&gt;1,"⚠ Nom en double",IF(AND(C104&lt;&gt;"",ISERROR(FIND("@",C104))),"⚠ Email invalide",IF(AND(C104&lt;&gt;"",COUNTIF($C$9:$C$158,C104)&gt;1),"⚠ Email en double","✓"))))</f>
      </c>
    </row>
    <row r="105" ht="21" customHeight="1" spans="2:8" x14ac:dyDescent="0.25">
      <c r="B105" s="46"/>
      <c r="C105" s="46"/>
      <c r="D105" s="46"/>
      <c r="E105" s="46"/>
      <c r="F105" s="46"/>
      <c r="G105" s="46"/>
      <c r="H105" s="48">
        <f>IF(B105="","",IF(COUNTIF($B$9:$B$158,B105)&gt;1,"⚠ Nom en double",IF(AND(C105&lt;&gt;"",ISERROR(FIND("@",C105))),"⚠ Email invalide",IF(AND(C105&lt;&gt;"",COUNTIF($C$9:$C$158,C105)&gt;1),"⚠ Email en double","✓"))))</f>
      </c>
    </row>
    <row r="106" ht="21" customHeight="1" spans="2:8" x14ac:dyDescent="0.25">
      <c r="B106" s="46"/>
      <c r="C106" s="46"/>
      <c r="D106" s="46"/>
      <c r="E106" s="46"/>
      <c r="F106" s="46"/>
      <c r="G106" s="46"/>
      <c r="H106" s="48">
        <f>IF(B106="","",IF(COUNTIF($B$9:$B$158,B106)&gt;1,"⚠ Nom en double",IF(AND(C106&lt;&gt;"",ISERROR(FIND("@",C106))),"⚠ Email invalide",IF(AND(C106&lt;&gt;"",COUNTIF($C$9:$C$158,C106)&gt;1),"⚠ Email en double","✓"))))</f>
      </c>
    </row>
    <row r="107" ht="21" customHeight="1" spans="2:8" x14ac:dyDescent="0.25">
      <c r="B107" s="46"/>
      <c r="C107" s="46"/>
      <c r="D107" s="46"/>
      <c r="E107" s="46"/>
      <c r="F107" s="46"/>
      <c r="G107" s="46"/>
      <c r="H107" s="48">
        <f>IF(B107="","",IF(COUNTIF($B$9:$B$158,B107)&gt;1,"⚠ Nom en double",IF(AND(C107&lt;&gt;"",ISERROR(FIND("@",C107))),"⚠ Email invalide",IF(AND(C107&lt;&gt;"",COUNTIF($C$9:$C$158,C107)&gt;1),"⚠ Email en double","✓"))))</f>
      </c>
    </row>
    <row r="108" ht="21" customHeight="1" spans="2:8" x14ac:dyDescent="0.25">
      <c r="B108" s="46"/>
      <c r="C108" s="46"/>
      <c r="D108" s="46"/>
      <c r="E108" s="46"/>
      <c r="F108" s="46"/>
      <c r="G108" s="46"/>
      <c r="H108" s="48">
        <f>IF(B108="","",IF(COUNTIF($B$9:$B$158,B108)&gt;1,"⚠ Nom en double",IF(AND(C108&lt;&gt;"",ISERROR(FIND("@",C108))),"⚠ Email invalide",IF(AND(C108&lt;&gt;"",COUNTIF($C$9:$C$158,C108)&gt;1),"⚠ Email en double","✓"))))</f>
      </c>
    </row>
    <row r="109" ht="21" customHeight="1" spans="2:8" x14ac:dyDescent="0.25">
      <c r="B109" s="46"/>
      <c r="C109" s="46"/>
      <c r="D109" s="46"/>
      <c r="E109" s="46"/>
      <c r="F109" s="46"/>
      <c r="G109" s="46"/>
      <c r="H109" s="48">
        <f>IF(B109="","",IF(COUNTIF($B$9:$B$158,B109)&gt;1,"⚠ Nom en double",IF(AND(C109&lt;&gt;"",ISERROR(FIND("@",C109))),"⚠ Email invalide",IF(AND(C109&lt;&gt;"",COUNTIF($C$9:$C$158,C109)&gt;1),"⚠ Email en double","✓"))))</f>
      </c>
    </row>
    <row r="110" ht="21" customHeight="1" spans="2:8" x14ac:dyDescent="0.25">
      <c r="B110" s="46"/>
      <c r="C110" s="46"/>
      <c r="D110" s="46"/>
      <c r="E110" s="46"/>
      <c r="F110" s="46"/>
      <c r="G110" s="46"/>
      <c r="H110" s="48">
        <f>IF(B110="","",IF(COUNTIF($B$9:$B$158,B110)&gt;1,"⚠ Nom en double",IF(AND(C110&lt;&gt;"",ISERROR(FIND("@",C110))),"⚠ Email invalide",IF(AND(C110&lt;&gt;"",COUNTIF($C$9:$C$158,C110)&gt;1),"⚠ Email en double","✓"))))</f>
      </c>
    </row>
    <row r="111" ht="21" customHeight="1" spans="2:8" x14ac:dyDescent="0.25">
      <c r="B111" s="46"/>
      <c r="C111" s="46"/>
      <c r="D111" s="46"/>
      <c r="E111" s="46"/>
      <c r="F111" s="46"/>
      <c r="G111" s="46"/>
      <c r="H111" s="48">
        <f>IF(B111="","",IF(COUNTIF($B$9:$B$158,B111)&gt;1,"⚠ Nom en double",IF(AND(C111&lt;&gt;"",ISERROR(FIND("@",C111))),"⚠ Email invalide",IF(AND(C111&lt;&gt;"",COUNTIF($C$9:$C$158,C111)&gt;1),"⚠ Email en double","✓"))))</f>
      </c>
    </row>
    <row r="112" ht="21" customHeight="1" spans="2:8" x14ac:dyDescent="0.25">
      <c r="B112" s="46"/>
      <c r="C112" s="46"/>
      <c r="D112" s="46"/>
      <c r="E112" s="46"/>
      <c r="F112" s="46"/>
      <c r="G112" s="46"/>
      <c r="H112" s="48">
        <f>IF(B112="","",IF(COUNTIF($B$9:$B$158,B112)&gt;1,"⚠ Nom en double",IF(AND(C112&lt;&gt;"",ISERROR(FIND("@",C112))),"⚠ Email invalide",IF(AND(C112&lt;&gt;"",COUNTIF($C$9:$C$158,C112)&gt;1),"⚠ Email en double","✓"))))</f>
      </c>
    </row>
    <row r="113" ht="21" customHeight="1" spans="2:8" x14ac:dyDescent="0.25">
      <c r="B113" s="46"/>
      <c r="C113" s="46"/>
      <c r="D113" s="46"/>
      <c r="E113" s="46"/>
      <c r="F113" s="46"/>
      <c r="G113" s="46"/>
      <c r="H113" s="48">
        <f>IF(B113="","",IF(COUNTIF($B$9:$B$158,B113)&gt;1,"⚠ Nom en double",IF(AND(C113&lt;&gt;"",ISERROR(FIND("@",C113))),"⚠ Email invalide",IF(AND(C113&lt;&gt;"",COUNTIF($C$9:$C$158,C113)&gt;1),"⚠ Email en double","✓"))))</f>
      </c>
    </row>
    <row r="114" ht="21" customHeight="1" spans="2:8" x14ac:dyDescent="0.25">
      <c r="B114" s="46"/>
      <c r="C114" s="46"/>
      <c r="D114" s="46"/>
      <c r="E114" s="46"/>
      <c r="F114" s="46"/>
      <c r="G114" s="46"/>
      <c r="H114" s="48">
        <f>IF(B114="","",IF(COUNTIF($B$9:$B$158,B114)&gt;1,"⚠ Nom en double",IF(AND(C114&lt;&gt;"",ISERROR(FIND("@",C114))),"⚠ Email invalide",IF(AND(C114&lt;&gt;"",COUNTIF($C$9:$C$158,C114)&gt;1),"⚠ Email en double","✓"))))</f>
      </c>
    </row>
    <row r="115" ht="21" customHeight="1" spans="2:8" x14ac:dyDescent="0.25">
      <c r="B115" s="46"/>
      <c r="C115" s="46"/>
      <c r="D115" s="46"/>
      <c r="E115" s="46"/>
      <c r="F115" s="46"/>
      <c r="G115" s="46"/>
      <c r="H115" s="48">
        <f>IF(B115="","",IF(COUNTIF($B$9:$B$158,B115)&gt;1,"⚠ Nom en double",IF(AND(C115&lt;&gt;"",ISERROR(FIND("@",C115))),"⚠ Email invalide",IF(AND(C115&lt;&gt;"",COUNTIF($C$9:$C$158,C115)&gt;1),"⚠ Email en double","✓"))))</f>
      </c>
    </row>
    <row r="116" ht="21" customHeight="1" spans="2:8" x14ac:dyDescent="0.25">
      <c r="B116" s="46"/>
      <c r="C116" s="46"/>
      <c r="D116" s="46"/>
      <c r="E116" s="46"/>
      <c r="F116" s="46"/>
      <c r="G116" s="46"/>
      <c r="H116" s="48">
        <f>IF(B116="","",IF(COUNTIF($B$9:$B$158,B116)&gt;1,"⚠ Nom en double",IF(AND(C116&lt;&gt;"",ISERROR(FIND("@",C116))),"⚠ Email invalide",IF(AND(C116&lt;&gt;"",COUNTIF($C$9:$C$158,C116)&gt;1),"⚠ Email en double","✓"))))</f>
      </c>
    </row>
    <row r="117" ht="21" customHeight="1" spans="2:8" x14ac:dyDescent="0.25">
      <c r="B117" s="46"/>
      <c r="C117" s="46"/>
      <c r="D117" s="46"/>
      <c r="E117" s="46"/>
      <c r="F117" s="46"/>
      <c r="G117" s="46"/>
      <c r="H117" s="48">
        <f>IF(B117="","",IF(COUNTIF($B$9:$B$158,B117)&gt;1,"⚠ Nom en double",IF(AND(C117&lt;&gt;"",ISERROR(FIND("@",C117))),"⚠ Email invalide",IF(AND(C117&lt;&gt;"",COUNTIF($C$9:$C$158,C117)&gt;1),"⚠ Email en double","✓"))))</f>
      </c>
    </row>
    <row r="118" ht="21" customHeight="1" spans="2:8" x14ac:dyDescent="0.25">
      <c r="B118" s="46"/>
      <c r="C118" s="46"/>
      <c r="D118" s="46"/>
      <c r="E118" s="46"/>
      <c r="F118" s="46"/>
      <c r="G118" s="46"/>
      <c r="H118" s="48">
        <f>IF(B118="","",IF(COUNTIF($B$9:$B$158,B118)&gt;1,"⚠ Nom en double",IF(AND(C118&lt;&gt;"",ISERROR(FIND("@",C118))),"⚠ Email invalide",IF(AND(C118&lt;&gt;"",COUNTIF($C$9:$C$158,C118)&gt;1),"⚠ Email en double","✓"))))</f>
      </c>
    </row>
    <row r="119" ht="21" customHeight="1" spans="2:8" x14ac:dyDescent="0.25">
      <c r="B119" s="46"/>
      <c r="C119" s="46"/>
      <c r="D119" s="46"/>
      <c r="E119" s="46"/>
      <c r="F119" s="46"/>
      <c r="G119" s="46"/>
      <c r="H119" s="48">
        <f>IF(B119="","",IF(COUNTIF($B$9:$B$158,B119)&gt;1,"⚠ Nom en double",IF(AND(C119&lt;&gt;"",ISERROR(FIND("@",C119))),"⚠ Email invalide",IF(AND(C119&lt;&gt;"",COUNTIF($C$9:$C$158,C119)&gt;1),"⚠ Email en double","✓"))))</f>
      </c>
    </row>
    <row r="120" ht="21" customHeight="1" spans="2:8" x14ac:dyDescent="0.25">
      <c r="B120" s="46"/>
      <c r="C120" s="46"/>
      <c r="D120" s="46"/>
      <c r="E120" s="46"/>
      <c r="F120" s="46"/>
      <c r="G120" s="46"/>
      <c r="H120" s="48">
        <f>IF(B120="","",IF(COUNTIF($B$9:$B$158,B120)&gt;1,"⚠ Nom en double",IF(AND(C120&lt;&gt;"",ISERROR(FIND("@",C120))),"⚠ Email invalide",IF(AND(C120&lt;&gt;"",COUNTIF($C$9:$C$158,C120)&gt;1),"⚠ Email en double","✓"))))</f>
      </c>
    </row>
    <row r="121" ht="21" customHeight="1" spans="2:8" x14ac:dyDescent="0.25">
      <c r="B121" s="46"/>
      <c r="C121" s="46"/>
      <c r="D121" s="46"/>
      <c r="E121" s="46"/>
      <c r="F121" s="46"/>
      <c r="G121" s="46"/>
      <c r="H121" s="48">
        <f>IF(B121="","",IF(COUNTIF($B$9:$B$158,B121)&gt;1,"⚠ Nom en double",IF(AND(C121&lt;&gt;"",ISERROR(FIND("@",C121))),"⚠ Email invalide",IF(AND(C121&lt;&gt;"",COUNTIF($C$9:$C$158,C121)&gt;1),"⚠ Email en double","✓"))))</f>
      </c>
    </row>
    <row r="122" ht="21" customHeight="1" spans="2:8" x14ac:dyDescent="0.25">
      <c r="B122" s="46"/>
      <c r="C122" s="46"/>
      <c r="D122" s="46"/>
      <c r="E122" s="46"/>
      <c r="F122" s="46"/>
      <c r="G122" s="46"/>
      <c r="H122" s="48">
        <f>IF(B122="","",IF(COUNTIF($B$9:$B$158,B122)&gt;1,"⚠ Nom en double",IF(AND(C122&lt;&gt;"",ISERROR(FIND("@",C122))),"⚠ Email invalide",IF(AND(C122&lt;&gt;"",COUNTIF($C$9:$C$158,C122)&gt;1),"⚠ Email en double","✓"))))</f>
      </c>
    </row>
    <row r="123" ht="21" customHeight="1" spans="2:8" x14ac:dyDescent="0.25">
      <c r="B123" s="46"/>
      <c r="C123" s="46"/>
      <c r="D123" s="46"/>
      <c r="E123" s="46"/>
      <c r="F123" s="46"/>
      <c r="G123" s="46"/>
      <c r="H123" s="48">
        <f>IF(B123="","",IF(COUNTIF($B$9:$B$158,B123)&gt;1,"⚠ Nom en double",IF(AND(C123&lt;&gt;"",ISERROR(FIND("@",C123))),"⚠ Email invalide",IF(AND(C123&lt;&gt;"",COUNTIF($C$9:$C$158,C123)&gt;1),"⚠ Email en double","✓"))))</f>
      </c>
    </row>
    <row r="124" ht="21" customHeight="1" spans="2:8" x14ac:dyDescent="0.25">
      <c r="B124" s="46"/>
      <c r="C124" s="46"/>
      <c r="D124" s="46"/>
      <c r="E124" s="46"/>
      <c r="F124" s="46"/>
      <c r="G124" s="46"/>
      <c r="H124" s="48">
        <f>IF(B124="","",IF(COUNTIF($B$9:$B$158,B124)&gt;1,"⚠ Nom en double",IF(AND(C124&lt;&gt;"",ISERROR(FIND("@",C124))),"⚠ Email invalide",IF(AND(C124&lt;&gt;"",COUNTIF($C$9:$C$158,C124)&gt;1),"⚠ Email en double","✓"))))</f>
      </c>
    </row>
    <row r="125" ht="21" customHeight="1" spans="2:8" x14ac:dyDescent="0.25">
      <c r="B125" s="46"/>
      <c r="C125" s="46"/>
      <c r="D125" s="46"/>
      <c r="E125" s="46"/>
      <c r="F125" s="46"/>
      <c r="G125" s="46"/>
      <c r="H125" s="48">
        <f>IF(B125="","",IF(COUNTIF($B$9:$B$158,B125)&gt;1,"⚠ Nom en double",IF(AND(C125&lt;&gt;"",ISERROR(FIND("@",C125))),"⚠ Email invalide",IF(AND(C125&lt;&gt;"",COUNTIF($C$9:$C$158,C125)&gt;1),"⚠ Email en double","✓"))))</f>
      </c>
    </row>
    <row r="126" ht="21" customHeight="1" spans="2:8" x14ac:dyDescent="0.25">
      <c r="B126" s="46"/>
      <c r="C126" s="46"/>
      <c r="D126" s="46"/>
      <c r="E126" s="46"/>
      <c r="F126" s="46"/>
      <c r="G126" s="46"/>
      <c r="H126" s="48">
        <f>IF(B126="","",IF(COUNTIF($B$9:$B$158,B126)&gt;1,"⚠ Nom en double",IF(AND(C126&lt;&gt;"",ISERROR(FIND("@",C126))),"⚠ Email invalide",IF(AND(C126&lt;&gt;"",COUNTIF($C$9:$C$158,C126)&gt;1),"⚠ Email en double","✓"))))</f>
      </c>
    </row>
    <row r="127" ht="21" customHeight="1" spans="2:8" x14ac:dyDescent="0.25">
      <c r="B127" s="46"/>
      <c r="C127" s="46"/>
      <c r="D127" s="46"/>
      <c r="E127" s="46"/>
      <c r="F127" s="46"/>
      <c r="G127" s="46"/>
      <c r="H127" s="48">
        <f>IF(B127="","",IF(COUNTIF($B$9:$B$158,B127)&gt;1,"⚠ Nom en double",IF(AND(C127&lt;&gt;"",ISERROR(FIND("@",C127))),"⚠ Email invalide",IF(AND(C127&lt;&gt;"",COUNTIF($C$9:$C$158,C127)&gt;1),"⚠ Email en double","✓"))))</f>
      </c>
    </row>
    <row r="128" ht="21" customHeight="1" spans="2:8" x14ac:dyDescent="0.25">
      <c r="B128" s="46"/>
      <c r="C128" s="46"/>
      <c r="D128" s="46"/>
      <c r="E128" s="46"/>
      <c r="F128" s="46"/>
      <c r="G128" s="46"/>
      <c r="H128" s="48">
        <f>IF(B128="","",IF(COUNTIF($B$9:$B$158,B128)&gt;1,"⚠ Nom en double",IF(AND(C128&lt;&gt;"",ISERROR(FIND("@",C128))),"⚠ Email invalide",IF(AND(C128&lt;&gt;"",COUNTIF($C$9:$C$158,C128)&gt;1),"⚠ Email en double","✓"))))</f>
      </c>
    </row>
    <row r="129" ht="21" customHeight="1" spans="2:8" x14ac:dyDescent="0.25">
      <c r="B129" s="46"/>
      <c r="C129" s="46"/>
      <c r="D129" s="46"/>
      <c r="E129" s="46"/>
      <c r="F129" s="46"/>
      <c r="G129" s="46"/>
      <c r="H129" s="48">
        <f>IF(B129="","",IF(COUNTIF($B$9:$B$158,B129)&gt;1,"⚠ Nom en double",IF(AND(C129&lt;&gt;"",ISERROR(FIND("@",C129))),"⚠ Email invalide",IF(AND(C129&lt;&gt;"",COUNTIF($C$9:$C$158,C129)&gt;1),"⚠ Email en double","✓"))))</f>
      </c>
    </row>
    <row r="130" ht="21" customHeight="1" spans="2:8" x14ac:dyDescent="0.25">
      <c r="B130" s="46"/>
      <c r="C130" s="46"/>
      <c r="D130" s="46"/>
      <c r="E130" s="46"/>
      <c r="F130" s="46"/>
      <c r="G130" s="46"/>
      <c r="H130" s="48">
        <f>IF(B130="","",IF(COUNTIF($B$9:$B$158,B130)&gt;1,"⚠ Nom en double",IF(AND(C130&lt;&gt;"",ISERROR(FIND("@",C130))),"⚠ Email invalide",IF(AND(C130&lt;&gt;"",COUNTIF($C$9:$C$158,C130)&gt;1),"⚠ Email en double","✓"))))</f>
      </c>
    </row>
    <row r="131" ht="21" customHeight="1" spans="2:8" x14ac:dyDescent="0.25">
      <c r="B131" s="46"/>
      <c r="C131" s="46"/>
      <c r="D131" s="46"/>
      <c r="E131" s="46"/>
      <c r="F131" s="46"/>
      <c r="G131" s="46"/>
      <c r="H131" s="48">
        <f>IF(B131="","",IF(COUNTIF($B$9:$B$158,B131)&gt;1,"⚠ Nom en double",IF(AND(C131&lt;&gt;"",ISERROR(FIND("@",C131))),"⚠ Email invalide",IF(AND(C131&lt;&gt;"",COUNTIF($C$9:$C$158,C131)&gt;1),"⚠ Email en double","✓"))))</f>
      </c>
    </row>
    <row r="132" ht="21" customHeight="1" spans="2:8" x14ac:dyDescent="0.25">
      <c r="B132" s="46"/>
      <c r="C132" s="46"/>
      <c r="D132" s="46"/>
      <c r="E132" s="46"/>
      <c r="F132" s="46"/>
      <c r="G132" s="46"/>
      <c r="H132" s="48">
        <f>IF(B132="","",IF(COUNTIF($B$9:$B$158,B132)&gt;1,"⚠ Nom en double",IF(AND(C132&lt;&gt;"",ISERROR(FIND("@",C132))),"⚠ Email invalide",IF(AND(C132&lt;&gt;"",COUNTIF($C$9:$C$158,C132)&gt;1),"⚠ Email en double","✓"))))</f>
      </c>
    </row>
    <row r="133" ht="21" customHeight="1" spans="2:8" x14ac:dyDescent="0.25">
      <c r="B133" s="46"/>
      <c r="C133" s="46"/>
      <c r="D133" s="46"/>
      <c r="E133" s="46"/>
      <c r="F133" s="46"/>
      <c r="G133" s="46"/>
      <c r="H133" s="48">
        <f>IF(B133="","",IF(COUNTIF($B$9:$B$158,B133)&gt;1,"⚠ Nom en double",IF(AND(C133&lt;&gt;"",ISERROR(FIND("@",C133))),"⚠ Email invalide",IF(AND(C133&lt;&gt;"",COUNTIF($C$9:$C$158,C133)&gt;1),"⚠ Email en double","✓"))))</f>
      </c>
    </row>
    <row r="134" ht="21" customHeight="1" spans="2:8" x14ac:dyDescent="0.25">
      <c r="B134" s="46"/>
      <c r="C134" s="46"/>
      <c r="D134" s="46"/>
      <c r="E134" s="46"/>
      <c r="F134" s="46"/>
      <c r="G134" s="46"/>
      <c r="H134" s="48">
        <f>IF(B134="","",IF(COUNTIF($B$9:$B$158,B134)&gt;1,"⚠ Nom en double",IF(AND(C134&lt;&gt;"",ISERROR(FIND("@",C134))),"⚠ Email invalide",IF(AND(C134&lt;&gt;"",COUNTIF($C$9:$C$158,C134)&gt;1),"⚠ Email en double","✓"))))</f>
      </c>
    </row>
    <row r="135" ht="21" customHeight="1" spans="2:8" x14ac:dyDescent="0.25">
      <c r="B135" s="46"/>
      <c r="C135" s="46"/>
      <c r="D135" s="46"/>
      <c r="E135" s="46"/>
      <c r="F135" s="46"/>
      <c r="G135" s="46"/>
      <c r="H135" s="48">
        <f>IF(B135="","",IF(COUNTIF($B$9:$B$158,B135)&gt;1,"⚠ Nom en double",IF(AND(C135&lt;&gt;"",ISERROR(FIND("@",C135))),"⚠ Email invalide",IF(AND(C135&lt;&gt;"",COUNTIF($C$9:$C$158,C135)&gt;1),"⚠ Email en double","✓"))))</f>
      </c>
    </row>
    <row r="136" ht="21" customHeight="1" spans="2:8" x14ac:dyDescent="0.25">
      <c r="B136" s="46"/>
      <c r="C136" s="46"/>
      <c r="D136" s="46"/>
      <c r="E136" s="46"/>
      <c r="F136" s="46"/>
      <c r="G136" s="46"/>
      <c r="H136" s="48">
        <f>IF(B136="","",IF(COUNTIF($B$9:$B$158,B136)&gt;1,"⚠ Nom en double",IF(AND(C136&lt;&gt;"",ISERROR(FIND("@",C136))),"⚠ Email invalide",IF(AND(C136&lt;&gt;"",COUNTIF($C$9:$C$158,C136)&gt;1),"⚠ Email en double","✓"))))</f>
      </c>
    </row>
    <row r="137" ht="21" customHeight="1" spans="2:8" x14ac:dyDescent="0.25">
      <c r="B137" s="46"/>
      <c r="C137" s="46"/>
      <c r="D137" s="46"/>
      <c r="E137" s="46"/>
      <c r="F137" s="46"/>
      <c r="G137" s="46"/>
      <c r="H137" s="48">
        <f>IF(B137="","",IF(COUNTIF($B$9:$B$158,B137)&gt;1,"⚠ Nom en double",IF(AND(C137&lt;&gt;"",ISERROR(FIND("@",C137))),"⚠ Email invalide",IF(AND(C137&lt;&gt;"",COUNTIF($C$9:$C$158,C137)&gt;1),"⚠ Email en double","✓"))))</f>
      </c>
    </row>
    <row r="138" ht="21" customHeight="1" spans="2:8" x14ac:dyDescent="0.25">
      <c r="B138" s="46"/>
      <c r="C138" s="46"/>
      <c r="D138" s="46"/>
      <c r="E138" s="46"/>
      <c r="F138" s="46"/>
      <c r="G138" s="46"/>
      <c r="H138" s="48">
        <f>IF(B138="","",IF(COUNTIF($B$9:$B$158,B138)&gt;1,"⚠ Nom en double",IF(AND(C138&lt;&gt;"",ISERROR(FIND("@",C138))),"⚠ Email invalide",IF(AND(C138&lt;&gt;"",COUNTIF($C$9:$C$158,C138)&gt;1),"⚠ Email en double","✓"))))</f>
      </c>
    </row>
    <row r="139" ht="21" customHeight="1" spans="2:8" x14ac:dyDescent="0.25">
      <c r="B139" s="46"/>
      <c r="C139" s="46"/>
      <c r="D139" s="46"/>
      <c r="E139" s="46"/>
      <c r="F139" s="46"/>
      <c r="G139" s="46"/>
      <c r="H139" s="48">
        <f>IF(B139="","",IF(COUNTIF($B$9:$B$158,B139)&gt;1,"⚠ Nom en double",IF(AND(C139&lt;&gt;"",ISERROR(FIND("@",C139))),"⚠ Email invalide",IF(AND(C139&lt;&gt;"",COUNTIF($C$9:$C$158,C139)&gt;1),"⚠ Email en double","✓"))))</f>
      </c>
    </row>
    <row r="140" ht="21" customHeight="1" spans="2:8" x14ac:dyDescent="0.25">
      <c r="B140" s="46"/>
      <c r="C140" s="46"/>
      <c r="D140" s="46"/>
      <c r="E140" s="46"/>
      <c r="F140" s="46"/>
      <c r="G140" s="46"/>
      <c r="H140" s="48">
        <f>IF(B140="","",IF(COUNTIF($B$9:$B$158,B140)&gt;1,"⚠ Nom en double",IF(AND(C140&lt;&gt;"",ISERROR(FIND("@",C140))),"⚠ Email invalide",IF(AND(C140&lt;&gt;"",COUNTIF($C$9:$C$158,C140)&gt;1),"⚠ Email en double","✓"))))</f>
      </c>
    </row>
    <row r="141" ht="21" customHeight="1" spans="2:8" x14ac:dyDescent="0.25">
      <c r="B141" s="46"/>
      <c r="C141" s="46"/>
      <c r="D141" s="46"/>
      <c r="E141" s="46"/>
      <c r="F141" s="46"/>
      <c r="G141" s="46"/>
      <c r="H141" s="48">
        <f>IF(B141="","",IF(COUNTIF($B$9:$B$158,B141)&gt;1,"⚠ Nom en double",IF(AND(C141&lt;&gt;"",ISERROR(FIND("@",C141))),"⚠ Email invalide",IF(AND(C141&lt;&gt;"",COUNTIF($C$9:$C$158,C141)&gt;1),"⚠ Email en double","✓"))))</f>
      </c>
    </row>
    <row r="142" ht="21" customHeight="1" spans="2:8" x14ac:dyDescent="0.25">
      <c r="B142" s="46"/>
      <c r="C142" s="46"/>
      <c r="D142" s="46"/>
      <c r="E142" s="46"/>
      <c r="F142" s="46"/>
      <c r="G142" s="46"/>
      <c r="H142" s="48">
        <f>IF(B142="","",IF(COUNTIF($B$9:$B$158,B142)&gt;1,"⚠ Nom en double",IF(AND(C142&lt;&gt;"",ISERROR(FIND("@",C142))),"⚠ Email invalide",IF(AND(C142&lt;&gt;"",COUNTIF($C$9:$C$158,C142)&gt;1),"⚠ Email en double","✓"))))</f>
      </c>
    </row>
    <row r="143" ht="21" customHeight="1" spans="2:8" x14ac:dyDescent="0.25">
      <c r="B143" s="46"/>
      <c r="C143" s="46"/>
      <c r="D143" s="46"/>
      <c r="E143" s="46"/>
      <c r="F143" s="46"/>
      <c r="G143" s="46"/>
      <c r="H143" s="48">
        <f>IF(B143="","",IF(COUNTIF($B$9:$B$158,B143)&gt;1,"⚠ Nom en double",IF(AND(C143&lt;&gt;"",ISERROR(FIND("@",C143))),"⚠ Email invalide",IF(AND(C143&lt;&gt;"",COUNTIF($C$9:$C$158,C143)&gt;1),"⚠ Email en double","✓"))))</f>
      </c>
    </row>
    <row r="144" ht="21" customHeight="1" spans="2:8" x14ac:dyDescent="0.25">
      <c r="B144" s="46"/>
      <c r="C144" s="46"/>
      <c r="D144" s="46"/>
      <c r="E144" s="46"/>
      <c r="F144" s="46"/>
      <c r="G144" s="46"/>
      <c r="H144" s="48">
        <f>IF(B144="","",IF(COUNTIF($B$9:$B$158,B144)&gt;1,"⚠ Nom en double",IF(AND(C144&lt;&gt;"",ISERROR(FIND("@",C144))),"⚠ Email invalide",IF(AND(C144&lt;&gt;"",COUNTIF($C$9:$C$158,C144)&gt;1),"⚠ Email en double","✓"))))</f>
      </c>
    </row>
    <row r="145" ht="21" customHeight="1" spans="2:8" x14ac:dyDescent="0.25">
      <c r="B145" s="46"/>
      <c r="C145" s="46"/>
      <c r="D145" s="46"/>
      <c r="E145" s="46"/>
      <c r="F145" s="46"/>
      <c r="G145" s="46"/>
      <c r="H145" s="48">
        <f>IF(B145="","",IF(COUNTIF($B$9:$B$158,B145)&gt;1,"⚠ Nom en double",IF(AND(C145&lt;&gt;"",ISERROR(FIND("@",C145))),"⚠ Email invalide",IF(AND(C145&lt;&gt;"",COUNTIF($C$9:$C$158,C145)&gt;1),"⚠ Email en double","✓"))))</f>
      </c>
    </row>
    <row r="146" ht="21" customHeight="1" spans="2:8" x14ac:dyDescent="0.25">
      <c r="B146" s="46"/>
      <c r="C146" s="46"/>
      <c r="D146" s="46"/>
      <c r="E146" s="46"/>
      <c r="F146" s="46"/>
      <c r="G146" s="46"/>
      <c r="H146" s="48">
        <f>IF(B146="","",IF(COUNTIF($B$9:$B$158,B146)&gt;1,"⚠ Nom en double",IF(AND(C146&lt;&gt;"",ISERROR(FIND("@",C146))),"⚠ Email invalide",IF(AND(C146&lt;&gt;"",COUNTIF($C$9:$C$158,C146)&gt;1),"⚠ Email en double","✓"))))</f>
      </c>
    </row>
    <row r="147" ht="21" customHeight="1" spans="2:8" x14ac:dyDescent="0.25">
      <c r="B147" s="46"/>
      <c r="C147" s="46"/>
      <c r="D147" s="46"/>
      <c r="E147" s="46"/>
      <c r="F147" s="46"/>
      <c r="G147" s="46"/>
      <c r="H147" s="48">
        <f>IF(B147="","",IF(COUNTIF($B$9:$B$158,B147)&gt;1,"⚠ Nom en double",IF(AND(C147&lt;&gt;"",ISERROR(FIND("@",C147))),"⚠ Email invalide",IF(AND(C147&lt;&gt;"",COUNTIF($C$9:$C$158,C147)&gt;1),"⚠ Email en double","✓"))))</f>
      </c>
    </row>
    <row r="148" ht="21" customHeight="1" spans="2:8" x14ac:dyDescent="0.25">
      <c r="B148" s="46"/>
      <c r="C148" s="46"/>
      <c r="D148" s="46"/>
      <c r="E148" s="46"/>
      <c r="F148" s="46"/>
      <c r="G148" s="46"/>
      <c r="H148" s="48">
        <f>IF(B148="","",IF(COUNTIF($B$9:$B$158,B148)&gt;1,"⚠ Nom en double",IF(AND(C148&lt;&gt;"",ISERROR(FIND("@",C148))),"⚠ Email invalide",IF(AND(C148&lt;&gt;"",COUNTIF($C$9:$C$158,C148)&gt;1),"⚠ Email en double","✓"))))</f>
      </c>
    </row>
    <row r="149" ht="21" customHeight="1" spans="2:8" x14ac:dyDescent="0.25">
      <c r="B149" s="46"/>
      <c r="C149" s="46"/>
      <c r="D149" s="46"/>
      <c r="E149" s="46"/>
      <c r="F149" s="46"/>
      <c r="G149" s="46"/>
      <c r="H149" s="48">
        <f>IF(B149="","",IF(COUNTIF($B$9:$B$158,B149)&gt;1,"⚠ Nom en double",IF(AND(C149&lt;&gt;"",ISERROR(FIND("@",C149))),"⚠ Email invalide",IF(AND(C149&lt;&gt;"",COUNTIF($C$9:$C$158,C149)&gt;1),"⚠ Email en double","✓"))))</f>
      </c>
    </row>
    <row r="150" ht="21" customHeight="1" spans="2:8" x14ac:dyDescent="0.25">
      <c r="B150" s="46"/>
      <c r="C150" s="46"/>
      <c r="D150" s="46"/>
      <c r="E150" s="46"/>
      <c r="F150" s="46"/>
      <c r="G150" s="46"/>
      <c r="H150" s="48">
        <f>IF(B150="","",IF(COUNTIF($B$9:$B$158,B150)&gt;1,"⚠ Nom en double",IF(AND(C150&lt;&gt;"",ISERROR(FIND("@",C150))),"⚠ Email invalide",IF(AND(C150&lt;&gt;"",COUNTIF($C$9:$C$158,C150)&gt;1),"⚠ Email en double","✓"))))</f>
      </c>
    </row>
    <row r="151" ht="21" customHeight="1" spans="2:8" x14ac:dyDescent="0.25">
      <c r="B151" s="46"/>
      <c r="C151" s="46"/>
      <c r="D151" s="46"/>
      <c r="E151" s="46"/>
      <c r="F151" s="46"/>
      <c r="G151" s="46"/>
      <c r="H151" s="48">
        <f>IF(B151="","",IF(COUNTIF($B$9:$B$158,B151)&gt;1,"⚠ Nom en double",IF(AND(C151&lt;&gt;"",ISERROR(FIND("@",C151))),"⚠ Email invalide",IF(AND(C151&lt;&gt;"",COUNTIF($C$9:$C$158,C151)&gt;1),"⚠ Email en double","✓"))))</f>
      </c>
    </row>
    <row r="152" ht="21" customHeight="1" spans="2:8" x14ac:dyDescent="0.25">
      <c r="B152" s="46"/>
      <c r="C152" s="46"/>
      <c r="D152" s="46"/>
      <c r="E152" s="46"/>
      <c r="F152" s="46"/>
      <c r="G152" s="46"/>
      <c r="H152" s="48">
        <f>IF(B152="","",IF(COUNTIF($B$9:$B$158,B152)&gt;1,"⚠ Nom en double",IF(AND(C152&lt;&gt;"",ISERROR(FIND("@",C152))),"⚠ Email invalide",IF(AND(C152&lt;&gt;"",COUNTIF($C$9:$C$158,C152)&gt;1),"⚠ Email en double","✓"))))</f>
      </c>
    </row>
    <row r="153" ht="21" customHeight="1" spans="2:8" x14ac:dyDescent="0.25">
      <c r="B153" s="46"/>
      <c r="C153" s="46"/>
      <c r="D153" s="46"/>
      <c r="E153" s="46"/>
      <c r="F153" s="46"/>
      <c r="G153" s="46"/>
      <c r="H153" s="48">
        <f>IF(B153="","",IF(COUNTIF($B$9:$B$158,B153)&gt;1,"⚠ Nom en double",IF(AND(C153&lt;&gt;"",ISERROR(FIND("@",C153))),"⚠ Email invalide",IF(AND(C153&lt;&gt;"",COUNTIF($C$9:$C$158,C153)&gt;1),"⚠ Email en double","✓"))))</f>
      </c>
    </row>
    <row r="154" ht="21" customHeight="1" spans="2:8" x14ac:dyDescent="0.25">
      <c r="B154" s="46"/>
      <c r="C154" s="46"/>
      <c r="D154" s="46"/>
      <c r="E154" s="46"/>
      <c r="F154" s="46"/>
      <c r="G154" s="46"/>
      <c r="H154" s="48">
        <f>IF(B154="","",IF(COUNTIF($B$9:$B$158,B154)&gt;1,"⚠ Nom en double",IF(AND(C154&lt;&gt;"",ISERROR(FIND("@",C154))),"⚠ Email invalide",IF(AND(C154&lt;&gt;"",COUNTIF($C$9:$C$158,C154)&gt;1),"⚠ Email en double","✓"))))</f>
      </c>
    </row>
    <row r="155" ht="21" customHeight="1" spans="2:8" x14ac:dyDescent="0.25">
      <c r="B155" s="46"/>
      <c r="C155" s="46"/>
      <c r="D155" s="46"/>
      <c r="E155" s="46"/>
      <c r="F155" s="46"/>
      <c r="G155" s="46"/>
      <c r="H155" s="48">
        <f>IF(B155="","",IF(COUNTIF($B$9:$B$158,B155)&gt;1,"⚠ Nom en double",IF(AND(C155&lt;&gt;"",ISERROR(FIND("@",C155))),"⚠ Email invalide",IF(AND(C155&lt;&gt;"",COUNTIF($C$9:$C$158,C155)&gt;1),"⚠ Email en double","✓"))))</f>
      </c>
    </row>
    <row r="156" ht="21" customHeight="1" spans="2:8" x14ac:dyDescent="0.25">
      <c r="B156" s="46"/>
      <c r="C156" s="46"/>
      <c r="D156" s="46"/>
      <c r="E156" s="46"/>
      <c r="F156" s="46"/>
      <c r="G156" s="46"/>
      <c r="H156" s="48">
        <f>IF(B156="","",IF(COUNTIF($B$9:$B$158,B156)&gt;1,"⚠ Nom en double",IF(AND(C156&lt;&gt;"",ISERROR(FIND("@",C156))),"⚠ Email invalide",IF(AND(C156&lt;&gt;"",COUNTIF($C$9:$C$158,C156)&gt;1),"⚠ Email en double","✓"))))</f>
      </c>
    </row>
    <row r="157" ht="21" customHeight="1" spans="2:8" x14ac:dyDescent="0.25">
      <c r="B157" s="46"/>
      <c r="C157" s="46"/>
      <c r="D157" s="46"/>
      <c r="E157" s="46"/>
      <c r="F157" s="46"/>
      <c r="G157" s="46"/>
      <c r="H157" s="48">
        <f>IF(B157="","",IF(COUNTIF($B$9:$B$158,B157)&gt;1,"⚠ Nom en double",IF(AND(C157&lt;&gt;"",ISERROR(FIND("@",C157))),"⚠ Email invalide",IF(AND(C157&lt;&gt;"",COUNTIF($C$9:$C$158,C157)&gt;1),"⚠ Email en double","✓"))))</f>
      </c>
    </row>
    <row r="158" ht="21" customHeight="1" spans="2:8" x14ac:dyDescent="0.25">
      <c r="B158" s="46"/>
      <c r="C158" s="46"/>
      <c r="D158" s="46"/>
      <c r="E158" s="46"/>
      <c r="F158" s="46"/>
      <c r="G158" s="46"/>
      <c r="H158" s="48">
        <f>IF(B158="","",IF(COUNTIF($B$9:$B$158,B158)&gt;1,"⚠ Nom en double",IF(AND(C158&lt;&gt;"",ISERROR(FIND("@",C158))),"⚠ Email invalide",IF(AND(C158&lt;&gt;"",COUNTIF($C$9:$C$158,C158)&gt;1),"⚠ Email en double","✓"))))</f>
      </c>
    </row>
  </sheetData>
  <sheetProtection sheet="1" formatColumns="0" formatRows="0" sort="0" autoFilter="0"/>
  <autoFilter ref="B8:H8"/>
  <conditionalFormatting sqref="B9:B158">
    <cfRule type="expression" dxfId="7" priority="1">
      <formula>AND(OR($B9&lt;&gt;"",$C9&lt;&gt;"",$D9&lt;&gt;"",$E9&lt;&gt;"",$F9&lt;&gt;"",$G9&lt;&gt;""),B9="")</formula>
    </cfRule>
  </conditionalFormatting>
  <conditionalFormatting sqref="C9:C158">
    <cfRule type="expression" dxfId="8" priority="1">
      <formula>AND(OR($B9&lt;&gt;"",$C9&lt;&gt;"",$D9&lt;&gt;"",$E9&lt;&gt;"",$F9&lt;&gt;"",$G9&lt;&gt;""),C9="")</formula>
    </cfRule>
  </conditionalFormatting>
  <conditionalFormatting sqref="D9:D158">
    <cfRule type="expression" dxfId="9" priority="1">
      <formula>AND(OR($B9&lt;&gt;"",$C9&lt;&gt;"",$D9&lt;&gt;"",$E9&lt;&gt;"",$F9&lt;&gt;"",$G9&lt;&gt;""),D9="")</formula>
    </cfRule>
  </conditionalFormatting>
  <conditionalFormatting sqref="F9:F158">
    <cfRule type="expression" dxfId="10" priority="1">
      <formula>AND(OR($B9&lt;&gt;"",$C9&lt;&gt;"",$D9&lt;&gt;"",$E9&lt;&gt;"",$F9&lt;&gt;"",$G9&lt;&gt;""),F9="")</formula>
    </cfRule>
  </conditionalFormatting>
  <conditionalFormatting sqref="H9:H158">
    <cfRule type="containsText" dxfId="11" priority="2">
      <formula>NOT(ISERROR(SEARCH("⚠",H9)))</formula>
    </cfRule>
    <cfRule type="containsText" dxfId="12" priority="3">
      <formula>NOT(ISERROR(SEARCH("◔",H9)))</formula>
    </cfRule>
  </conditionalFormatting>
  <dataValidations count="6">
    <dataValidation type="list" allowBlank="1" showErrorMessage="1" errorStyle="stop" errorTitle="Valeur hors liste" error="Choisissez une valeur dans la liste. Elle se remplit à partir de l’onglet correspondant." sqref="D10:D158">
      <formula1>L_Equipes</formula1>
    </dataValidation>
    <dataValidation type="list" allowBlank="1" showErrorMessage="1" errorStyle="stop" errorTitle="Valeur hors liste" error="Choisissez une valeur dans la liste. Elle se remplit à partir de l’onglet correspondant." sqref="D9:D158">
      <formula1>L_Equipes</formula1>
    </dataValidation>
    <dataValidation type="list" allowBlank="1" showErrorMessage="1" errorStyle="stop" errorTitle="Valeur hors liste" error="Choisissez une valeur dans la liste. Elle se remplit à partir de l’onglet correspondant." sqref="F10:F158">
      <formula1>L_Permission</formula1>
    </dataValidation>
    <dataValidation type="list" allowBlank="1" showErrorMessage="1" errorStyle="stop" errorTitle="Valeur hors liste" error="Choisissez une valeur dans la liste. Elle se remplit à partir de l’onglet correspondant." sqref="F9:F158">
      <formula1>L_Permission</formula1>
    </dataValidation>
    <dataValidation type="list" allowBlank="1" showErrorMessage="1" errorStyle="stop" errorTitle="Valeur hors liste" error="Choisissez une valeur dans la liste. Elle se remplit à partir de l’onglet correspondant." sqref="G10:G158">
      <formula1>L_OuiNon</formula1>
    </dataValidation>
    <dataValidation type="list" allowBlank="1" showErrorMessage="1" errorStyle="stop" errorTitle="Valeur hors liste" error="Choisissez une valeur dans la liste. Elle se remplit à partir de l’onglet correspondant." sqref="G9:G158">
      <formula1>L_OuiNon</formula1>
    </dataValidation>
  </dataValidations>
  <hyperlinks>
    <hyperlink ref="H3" r:id="rId1" location="#'Complétude'!A1"/>
  </hyperlinks>
  <pageMargins left="0.4" right="0.4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D8"/>
    <pageSetUpPr fitToPage="1"/>
  </sheetPr>
  <dimension ref="B1:H20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4" customWidth="1"/>
    <col min="3" max="3" width="30" customWidth="1"/>
    <col min="4" max="4" width="20" customWidth="1"/>
    <col min="5" max="6" width="13" customWidth="1"/>
    <col min="8" max="8" width="22" customWidth="1"/>
  </cols>
  <sheetData>
    <row r="1" ht="12" customHeight="1" x14ac:dyDescent="0.25"/>
    <row r="2" ht="34" customHeight="1" spans="2:8" x14ac:dyDescent="0.25">
      <c r="B2" s="1" t="s">
        <v>32</v>
      </c>
      <c r="H2" s="38">
        <f>'Complétude'!$I21</f>
      </c>
    </row>
    <row r="3" ht="18" customHeight="1" spans="2:8" x14ac:dyDescent="0.25">
      <c r="B3" s="2" t="s">
        <v>179</v>
      </c>
      <c r="H3" s="39" t="s">
        <v>156</v>
      </c>
    </row>
    <row r="4" ht="18" customHeight="1" spans="2:2" x14ac:dyDescent="0.25">
      <c r="B4" t="s">
        <v>180</v>
      </c>
    </row>
    <row r="5" ht="16" customHeight="1" spans="2:2" x14ac:dyDescent="0.25">
      <c r="B5" s="40" t="s">
        <v>181</v>
      </c>
    </row>
    <row r="6" ht="10" customHeight="1" x14ac:dyDescent="0.25"/>
    <row r="7" ht="15" customHeight="1" spans="2:8" x14ac:dyDescent="0.25">
      <c r="B7" s="41" t="s">
        <v>173</v>
      </c>
      <c r="C7" s="41" t="s">
        <v>173</v>
      </c>
      <c r="D7" s="43" t="s">
        <v>161</v>
      </c>
      <c r="E7" s="41" t="s">
        <v>159</v>
      </c>
      <c r="F7" s="42" t="s">
        <v>160</v>
      </c>
      <c r="G7" s="43" t="s">
        <v>161</v>
      </c>
      <c r="H7" s="43" t="s">
        <v>162</v>
      </c>
    </row>
    <row r="8" ht="26" customHeight="1" spans="2:8" x14ac:dyDescent="0.25">
      <c r="B8" s="44" t="s">
        <v>182</v>
      </c>
      <c r="C8" s="44" t="s">
        <v>183</v>
      </c>
      <c r="D8" s="45" t="s">
        <v>79</v>
      </c>
      <c r="E8" s="44" t="s">
        <v>184</v>
      </c>
      <c r="F8" s="44" t="s">
        <v>185</v>
      </c>
      <c r="G8" s="45" t="s">
        <v>186</v>
      </c>
      <c r="H8" s="45" t="s">
        <v>150</v>
      </c>
    </row>
    <row r="9" ht="21" customHeight="1" spans="2:8" x14ac:dyDescent="0.25">
      <c r="B9" s="46"/>
      <c r="C9" s="46"/>
      <c r="D9" s="47">
        <f>IF(B9="","",IFERROR(INDEX('03 Personnes'!$D$9:$D$158,MATCH(B9,'03 Personnes'!$B$9:$B$158,0)),"—"))</f>
      </c>
      <c r="E9" s="49"/>
      <c r="F9" s="49"/>
      <c r="G9" s="47">
        <f>IF(B9="","",IF(OR(F9="",F9&gt;=TODAY()),"Oui","Non"))</f>
      </c>
      <c r="H9" s="48">
        <f>IF(B9="","",IF(AND(E9&lt;&gt;"",F9&lt;&gt;"",F9&lt;E9),"⚠ Fin avant début",IF(COUNTIFS($B$9:$B$208,B9,$C$9:$C$208,C9,$E$9:$E$208,E9)&gt;1,"⚠ Doublon","✓")))</f>
      </c>
    </row>
    <row r="10" ht="21" customHeight="1" spans="2:8" x14ac:dyDescent="0.25">
      <c r="B10" s="46"/>
      <c r="C10" s="46"/>
      <c r="D10" s="47">
        <f>IF(B10="","",IFERROR(INDEX('03 Personnes'!$D$9:$D$158,MATCH(B10,'03 Personnes'!$B$9:$B$158,0)),"—"))</f>
      </c>
      <c r="E10" s="49"/>
      <c r="F10" s="49"/>
      <c r="G10" s="47">
        <f>IF(B10="","",IF(OR(F10="",F10&gt;=TODAY()),"Oui","Non"))</f>
      </c>
      <c r="H10" s="48">
        <f>IF(B10="","",IF(AND(E10&lt;&gt;"",F10&lt;&gt;"",F10&lt;E10),"⚠ Fin avant début",IF(COUNTIFS($B$9:$B$208,B10,$C$9:$C$208,C10,$E$9:$E$208,E10)&gt;1,"⚠ Doublon","✓")))</f>
      </c>
    </row>
    <row r="11" ht="21" customHeight="1" spans="2:8" x14ac:dyDescent="0.25">
      <c r="B11" s="46"/>
      <c r="C11" s="46"/>
      <c r="D11" s="47">
        <f>IF(B11="","",IFERROR(INDEX('03 Personnes'!$D$9:$D$158,MATCH(B11,'03 Personnes'!$B$9:$B$158,0)),"—"))</f>
      </c>
      <c r="E11" s="49"/>
      <c r="F11" s="49"/>
      <c r="G11" s="47">
        <f>IF(B11="","",IF(OR(F11="",F11&gt;=TODAY()),"Oui","Non"))</f>
      </c>
      <c r="H11" s="48">
        <f>IF(B11="","",IF(AND(E11&lt;&gt;"",F11&lt;&gt;"",F11&lt;E11),"⚠ Fin avant début",IF(COUNTIFS($B$9:$B$208,B11,$C$9:$C$208,C11,$E$9:$E$208,E11)&gt;1,"⚠ Doublon","✓")))</f>
      </c>
    </row>
    <row r="12" ht="21" customHeight="1" spans="2:8" x14ac:dyDescent="0.25">
      <c r="B12" s="46"/>
      <c r="C12" s="46"/>
      <c r="D12" s="47">
        <f>IF(B12="","",IFERROR(INDEX('03 Personnes'!$D$9:$D$158,MATCH(B12,'03 Personnes'!$B$9:$B$158,0)),"—"))</f>
      </c>
      <c r="E12" s="49"/>
      <c r="F12" s="49"/>
      <c r="G12" s="47">
        <f>IF(B12="","",IF(OR(F12="",F12&gt;=TODAY()),"Oui","Non"))</f>
      </c>
      <c r="H12" s="48">
        <f>IF(B12="","",IF(AND(E12&lt;&gt;"",F12&lt;&gt;"",F12&lt;E12),"⚠ Fin avant début",IF(COUNTIFS($B$9:$B$208,B12,$C$9:$C$208,C12,$E$9:$E$208,E12)&gt;1,"⚠ Doublon","✓")))</f>
      </c>
    </row>
    <row r="13" ht="21" customHeight="1" spans="2:8" x14ac:dyDescent="0.25">
      <c r="B13" s="46"/>
      <c r="C13" s="46"/>
      <c r="D13" s="47">
        <f>IF(B13="","",IFERROR(INDEX('03 Personnes'!$D$9:$D$158,MATCH(B13,'03 Personnes'!$B$9:$B$158,0)),"—"))</f>
      </c>
      <c r="E13" s="49"/>
      <c r="F13" s="49"/>
      <c r="G13" s="47">
        <f>IF(B13="","",IF(OR(F13="",F13&gt;=TODAY()),"Oui","Non"))</f>
      </c>
      <c r="H13" s="48">
        <f>IF(B13="","",IF(AND(E13&lt;&gt;"",F13&lt;&gt;"",F13&lt;E13),"⚠ Fin avant début",IF(COUNTIFS($B$9:$B$208,B13,$C$9:$C$208,C13,$E$9:$E$208,E13)&gt;1,"⚠ Doublon","✓")))</f>
      </c>
    </row>
    <row r="14" ht="21" customHeight="1" spans="2:8" x14ac:dyDescent="0.25">
      <c r="B14" s="46"/>
      <c r="C14" s="46"/>
      <c r="D14" s="47">
        <f>IF(B14="","",IFERROR(INDEX('03 Personnes'!$D$9:$D$158,MATCH(B14,'03 Personnes'!$B$9:$B$158,0)),"—"))</f>
      </c>
      <c r="E14" s="49"/>
      <c r="F14" s="49"/>
      <c r="G14" s="47">
        <f>IF(B14="","",IF(OR(F14="",F14&gt;=TODAY()),"Oui","Non"))</f>
      </c>
      <c r="H14" s="48">
        <f>IF(B14="","",IF(AND(E14&lt;&gt;"",F14&lt;&gt;"",F14&lt;E14),"⚠ Fin avant début",IF(COUNTIFS($B$9:$B$208,B14,$C$9:$C$208,C14,$E$9:$E$208,E14)&gt;1,"⚠ Doublon","✓")))</f>
      </c>
    </row>
    <row r="15" ht="21" customHeight="1" spans="2:8" x14ac:dyDescent="0.25">
      <c r="B15" s="46"/>
      <c r="C15" s="46"/>
      <c r="D15" s="47">
        <f>IF(B15="","",IFERROR(INDEX('03 Personnes'!$D$9:$D$158,MATCH(B15,'03 Personnes'!$B$9:$B$158,0)),"—"))</f>
      </c>
      <c r="E15" s="49"/>
      <c r="F15" s="49"/>
      <c r="G15" s="47">
        <f>IF(B15="","",IF(OR(F15="",F15&gt;=TODAY()),"Oui","Non"))</f>
      </c>
      <c r="H15" s="48">
        <f>IF(B15="","",IF(AND(E15&lt;&gt;"",F15&lt;&gt;"",F15&lt;E15),"⚠ Fin avant début",IF(COUNTIFS($B$9:$B$208,B15,$C$9:$C$208,C15,$E$9:$E$208,E15)&gt;1,"⚠ Doublon","✓")))</f>
      </c>
    </row>
    <row r="16" ht="21" customHeight="1" spans="2:8" x14ac:dyDescent="0.25">
      <c r="B16" s="46"/>
      <c r="C16" s="46"/>
      <c r="D16" s="47">
        <f>IF(B16="","",IFERROR(INDEX('03 Personnes'!$D$9:$D$158,MATCH(B16,'03 Personnes'!$B$9:$B$158,0)),"—"))</f>
      </c>
      <c r="E16" s="49"/>
      <c r="F16" s="49"/>
      <c r="G16" s="47">
        <f>IF(B16="","",IF(OR(F16="",F16&gt;=TODAY()),"Oui","Non"))</f>
      </c>
      <c r="H16" s="48">
        <f>IF(B16="","",IF(AND(E16&lt;&gt;"",F16&lt;&gt;"",F16&lt;E16),"⚠ Fin avant début",IF(COUNTIFS($B$9:$B$208,B16,$C$9:$C$208,C16,$E$9:$E$208,E16)&gt;1,"⚠ Doublon","✓")))</f>
      </c>
    </row>
    <row r="17" ht="21" customHeight="1" spans="2:8" x14ac:dyDescent="0.25">
      <c r="B17" s="46"/>
      <c r="C17" s="46"/>
      <c r="D17" s="47">
        <f>IF(B17="","",IFERROR(INDEX('03 Personnes'!$D$9:$D$158,MATCH(B17,'03 Personnes'!$B$9:$B$158,0)),"—"))</f>
      </c>
      <c r="E17" s="49"/>
      <c r="F17" s="49"/>
      <c r="G17" s="47">
        <f>IF(B17="","",IF(OR(F17="",F17&gt;=TODAY()),"Oui","Non"))</f>
      </c>
      <c r="H17" s="48">
        <f>IF(B17="","",IF(AND(E17&lt;&gt;"",F17&lt;&gt;"",F17&lt;E17),"⚠ Fin avant début",IF(COUNTIFS($B$9:$B$208,B17,$C$9:$C$208,C17,$E$9:$E$208,E17)&gt;1,"⚠ Doublon","✓")))</f>
      </c>
    </row>
    <row r="18" ht="21" customHeight="1" spans="2:8" x14ac:dyDescent="0.25">
      <c r="B18" s="46"/>
      <c r="C18" s="46"/>
      <c r="D18" s="47">
        <f>IF(B18="","",IFERROR(INDEX('03 Personnes'!$D$9:$D$158,MATCH(B18,'03 Personnes'!$B$9:$B$158,0)),"—"))</f>
      </c>
      <c r="E18" s="49"/>
      <c r="F18" s="49"/>
      <c r="G18" s="47">
        <f>IF(B18="","",IF(OR(F18="",F18&gt;=TODAY()),"Oui","Non"))</f>
      </c>
      <c r="H18" s="48">
        <f>IF(B18="","",IF(AND(E18&lt;&gt;"",F18&lt;&gt;"",F18&lt;E18),"⚠ Fin avant début",IF(COUNTIFS($B$9:$B$208,B18,$C$9:$C$208,C18,$E$9:$E$208,E18)&gt;1,"⚠ Doublon","✓")))</f>
      </c>
    </row>
    <row r="19" ht="21" customHeight="1" spans="2:8" x14ac:dyDescent="0.25">
      <c r="B19" s="46"/>
      <c r="C19" s="46"/>
      <c r="D19" s="47">
        <f>IF(B19="","",IFERROR(INDEX('03 Personnes'!$D$9:$D$158,MATCH(B19,'03 Personnes'!$B$9:$B$158,0)),"—"))</f>
      </c>
      <c r="E19" s="49"/>
      <c r="F19" s="49"/>
      <c r="G19" s="47">
        <f>IF(B19="","",IF(OR(F19="",F19&gt;=TODAY()),"Oui","Non"))</f>
      </c>
      <c r="H19" s="48">
        <f>IF(B19="","",IF(AND(E19&lt;&gt;"",F19&lt;&gt;"",F19&lt;E19),"⚠ Fin avant début",IF(COUNTIFS($B$9:$B$208,B19,$C$9:$C$208,C19,$E$9:$E$208,E19)&gt;1,"⚠ Doublon","✓")))</f>
      </c>
    </row>
    <row r="20" ht="21" customHeight="1" spans="2:8" x14ac:dyDescent="0.25">
      <c r="B20" s="46"/>
      <c r="C20" s="46"/>
      <c r="D20" s="47">
        <f>IF(B20="","",IFERROR(INDEX('03 Personnes'!$D$9:$D$158,MATCH(B20,'03 Personnes'!$B$9:$B$158,0)),"—"))</f>
      </c>
      <c r="E20" s="49"/>
      <c r="F20" s="49"/>
      <c r="G20" s="47">
        <f>IF(B20="","",IF(OR(F20="",F20&gt;=TODAY()),"Oui","Non"))</f>
      </c>
      <c r="H20" s="48">
        <f>IF(B20="","",IF(AND(E20&lt;&gt;"",F20&lt;&gt;"",F20&lt;E20),"⚠ Fin avant début",IF(COUNTIFS($B$9:$B$208,B20,$C$9:$C$208,C20,$E$9:$E$208,E20)&gt;1,"⚠ Doublon","✓")))</f>
      </c>
    </row>
    <row r="21" ht="21" customHeight="1" spans="2:8" x14ac:dyDescent="0.25">
      <c r="B21" s="46"/>
      <c r="C21" s="46"/>
      <c r="D21" s="47">
        <f>IF(B21="","",IFERROR(INDEX('03 Personnes'!$D$9:$D$158,MATCH(B21,'03 Personnes'!$B$9:$B$158,0)),"—"))</f>
      </c>
      <c r="E21" s="49"/>
      <c r="F21" s="49"/>
      <c r="G21" s="47">
        <f>IF(B21="","",IF(OR(F21="",F21&gt;=TODAY()),"Oui","Non"))</f>
      </c>
      <c r="H21" s="48">
        <f>IF(B21="","",IF(AND(E21&lt;&gt;"",F21&lt;&gt;"",F21&lt;E21),"⚠ Fin avant début",IF(COUNTIFS($B$9:$B$208,B21,$C$9:$C$208,C21,$E$9:$E$208,E21)&gt;1,"⚠ Doublon","✓")))</f>
      </c>
    </row>
    <row r="22" ht="21" customHeight="1" spans="2:8" x14ac:dyDescent="0.25">
      <c r="B22" s="46"/>
      <c r="C22" s="46"/>
      <c r="D22" s="47">
        <f>IF(B22="","",IFERROR(INDEX('03 Personnes'!$D$9:$D$158,MATCH(B22,'03 Personnes'!$B$9:$B$158,0)),"—"))</f>
      </c>
      <c r="E22" s="49"/>
      <c r="F22" s="49"/>
      <c r="G22" s="47">
        <f>IF(B22="","",IF(OR(F22="",F22&gt;=TODAY()),"Oui","Non"))</f>
      </c>
      <c r="H22" s="48">
        <f>IF(B22="","",IF(AND(E22&lt;&gt;"",F22&lt;&gt;"",F22&lt;E22),"⚠ Fin avant début",IF(COUNTIFS($B$9:$B$208,B22,$C$9:$C$208,C22,$E$9:$E$208,E22)&gt;1,"⚠ Doublon","✓")))</f>
      </c>
    </row>
    <row r="23" ht="21" customHeight="1" spans="2:8" x14ac:dyDescent="0.25">
      <c r="B23" s="46"/>
      <c r="C23" s="46"/>
      <c r="D23" s="47">
        <f>IF(B23="","",IFERROR(INDEX('03 Personnes'!$D$9:$D$158,MATCH(B23,'03 Personnes'!$B$9:$B$158,0)),"—"))</f>
      </c>
      <c r="E23" s="49"/>
      <c r="F23" s="49"/>
      <c r="G23" s="47">
        <f>IF(B23="","",IF(OR(F23="",F23&gt;=TODAY()),"Oui","Non"))</f>
      </c>
      <c r="H23" s="48">
        <f>IF(B23="","",IF(AND(E23&lt;&gt;"",F23&lt;&gt;"",F23&lt;E23),"⚠ Fin avant début",IF(COUNTIFS($B$9:$B$208,B23,$C$9:$C$208,C23,$E$9:$E$208,E23)&gt;1,"⚠ Doublon","✓")))</f>
      </c>
    </row>
    <row r="24" ht="21" customHeight="1" spans="2:8" x14ac:dyDescent="0.25">
      <c r="B24" s="46"/>
      <c r="C24" s="46"/>
      <c r="D24" s="47">
        <f>IF(B24="","",IFERROR(INDEX('03 Personnes'!$D$9:$D$158,MATCH(B24,'03 Personnes'!$B$9:$B$158,0)),"—"))</f>
      </c>
      <c r="E24" s="49"/>
      <c r="F24" s="49"/>
      <c r="G24" s="47">
        <f>IF(B24="","",IF(OR(F24="",F24&gt;=TODAY()),"Oui","Non"))</f>
      </c>
      <c r="H24" s="48">
        <f>IF(B24="","",IF(AND(E24&lt;&gt;"",F24&lt;&gt;"",F24&lt;E24),"⚠ Fin avant début",IF(COUNTIFS($B$9:$B$208,B24,$C$9:$C$208,C24,$E$9:$E$208,E24)&gt;1,"⚠ Doublon","✓")))</f>
      </c>
    </row>
    <row r="25" ht="21" customHeight="1" spans="2:8" x14ac:dyDescent="0.25">
      <c r="B25" s="46"/>
      <c r="C25" s="46"/>
      <c r="D25" s="47">
        <f>IF(B25="","",IFERROR(INDEX('03 Personnes'!$D$9:$D$158,MATCH(B25,'03 Personnes'!$B$9:$B$158,0)),"—"))</f>
      </c>
      <c r="E25" s="49"/>
      <c r="F25" s="49"/>
      <c r="G25" s="47">
        <f>IF(B25="","",IF(OR(F25="",F25&gt;=TODAY()),"Oui","Non"))</f>
      </c>
      <c r="H25" s="48">
        <f>IF(B25="","",IF(AND(E25&lt;&gt;"",F25&lt;&gt;"",F25&lt;E25),"⚠ Fin avant début",IF(COUNTIFS($B$9:$B$208,B25,$C$9:$C$208,C25,$E$9:$E$208,E25)&gt;1,"⚠ Doublon","✓")))</f>
      </c>
    </row>
    <row r="26" ht="21" customHeight="1" spans="2:8" x14ac:dyDescent="0.25">
      <c r="B26" s="46"/>
      <c r="C26" s="46"/>
      <c r="D26" s="47">
        <f>IF(B26="","",IFERROR(INDEX('03 Personnes'!$D$9:$D$158,MATCH(B26,'03 Personnes'!$B$9:$B$158,0)),"—"))</f>
      </c>
      <c r="E26" s="49"/>
      <c r="F26" s="49"/>
      <c r="G26" s="47">
        <f>IF(B26="","",IF(OR(F26="",F26&gt;=TODAY()),"Oui","Non"))</f>
      </c>
      <c r="H26" s="48">
        <f>IF(B26="","",IF(AND(E26&lt;&gt;"",F26&lt;&gt;"",F26&lt;E26),"⚠ Fin avant début",IF(COUNTIFS($B$9:$B$208,B26,$C$9:$C$208,C26,$E$9:$E$208,E26)&gt;1,"⚠ Doublon","✓")))</f>
      </c>
    </row>
    <row r="27" ht="21" customHeight="1" spans="2:8" x14ac:dyDescent="0.25">
      <c r="B27" s="46"/>
      <c r="C27" s="46"/>
      <c r="D27" s="47">
        <f>IF(B27="","",IFERROR(INDEX('03 Personnes'!$D$9:$D$158,MATCH(B27,'03 Personnes'!$B$9:$B$158,0)),"—"))</f>
      </c>
      <c r="E27" s="49"/>
      <c r="F27" s="49"/>
      <c r="G27" s="47">
        <f>IF(B27="","",IF(OR(F27="",F27&gt;=TODAY()),"Oui","Non"))</f>
      </c>
      <c r="H27" s="48">
        <f>IF(B27="","",IF(AND(E27&lt;&gt;"",F27&lt;&gt;"",F27&lt;E27),"⚠ Fin avant début",IF(COUNTIFS($B$9:$B$208,B27,$C$9:$C$208,C27,$E$9:$E$208,E27)&gt;1,"⚠ Doublon","✓")))</f>
      </c>
    </row>
    <row r="28" ht="21" customHeight="1" spans="2:8" x14ac:dyDescent="0.25">
      <c r="B28" s="46"/>
      <c r="C28" s="46"/>
      <c r="D28" s="47">
        <f>IF(B28="","",IFERROR(INDEX('03 Personnes'!$D$9:$D$158,MATCH(B28,'03 Personnes'!$B$9:$B$158,0)),"—"))</f>
      </c>
      <c r="E28" s="49"/>
      <c r="F28" s="49"/>
      <c r="G28" s="47">
        <f>IF(B28="","",IF(OR(F28="",F28&gt;=TODAY()),"Oui","Non"))</f>
      </c>
      <c r="H28" s="48">
        <f>IF(B28="","",IF(AND(E28&lt;&gt;"",F28&lt;&gt;"",F28&lt;E28),"⚠ Fin avant début",IF(COUNTIFS($B$9:$B$208,B28,$C$9:$C$208,C28,$E$9:$E$208,E28)&gt;1,"⚠ Doublon","✓")))</f>
      </c>
    </row>
    <row r="29" ht="21" customHeight="1" spans="2:8" x14ac:dyDescent="0.25">
      <c r="B29" s="46"/>
      <c r="C29" s="46"/>
      <c r="D29" s="47">
        <f>IF(B29="","",IFERROR(INDEX('03 Personnes'!$D$9:$D$158,MATCH(B29,'03 Personnes'!$B$9:$B$158,0)),"—"))</f>
      </c>
      <c r="E29" s="49"/>
      <c r="F29" s="49"/>
      <c r="G29" s="47">
        <f>IF(B29="","",IF(OR(F29="",F29&gt;=TODAY()),"Oui","Non"))</f>
      </c>
      <c r="H29" s="48">
        <f>IF(B29="","",IF(AND(E29&lt;&gt;"",F29&lt;&gt;"",F29&lt;E29),"⚠ Fin avant début",IF(COUNTIFS($B$9:$B$208,B29,$C$9:$C$208,C29,$E$9:$E$208,E29)&gt;1,"⚠ Doublon","✓")))</f>
      </c>
    </row>
    <row r="30" ht="21" customHeight="1" spans="2:8" x14ac:dyDescent="0.25">
      <c r="B30" s="46"/>
      <c r="C30" s="46"/>
      <c r="D30" s="47">
        <f>IF(B30="","",IFERROR(INDEX('03 Personnes'!$D$9:$D$158,MATCH(B30,'03 Personnes'!$B$9:$B$158,0)),"—"))</f>
      </c>
      <c r="E30" s="49"/>
      <c r="F30" s="49"/>
      <c r="G30" s="47">
        <f>IF(B30="","",IF(OR(F30="",F30&gt;=TODAY()),"Oui","Non"))</f>
      </c>
      <c r="H30" s="48">
        <f>IF(B30="","",IF(AND(E30&lt;&gt;"",F30&lt;&gt;"",F30&lt;E30),"⚠ Fin avant début",IF(COUNTIFS($B$9:$B$208,B30,$C$9:$C$208,C30,$E$9:$E$208,E30)&gt;1,"⚠ Doublon","✓")))</f>
      </c>
    </row>
    <row r="31" ht="21" customHeight="1" spans="2:8" x14ac:dyDescent="0.25">
      <c r="B31" s="46"/>
      <c r="C31" s="46"/>
      <c r="D31" s="47">
        <f>IF(B31="","",IFERROR(INDEX('03 Personnes'!$D$9:$D$158,MATCH(B31,'03 Personnes'!$B$9:$B$158,0)),"—"))</f>
      </c>
      <c r="E31" s="49"/>
      <c r="F31" s="49"/>
      <c r="G31" s="47">
        <f>IF(B31="","",IF(OR(F31="",F31&gt;=TODAY()),"Oui","Non"))</f>
      </c>
      <c r="H31" s="48">
        <f>IF(B31="","",IF(AND(E31&lt;&gt;"",F31&lt;&gt;"",F31&lt;E31),"⚠ Fin avant début",IF(COUNTIFS($B$9:$B$208,B31,$C$9:$C$208,C31,$E$9:$E$208,E31)&gt;1,"⚠ Doublon","✓")))</f>
      </c>
    </row>
    <row r="32" ht="21" customHeight="1" spans="2:8" x14ac:dyDescent="0.25">
      <c r="B32" s="46"/>
      <c r="C32" s="46"/>
      <c r="D32" s="47">
        <f>IF(B32="","",IFERROR(INDEX('03 Personnes'!$D$9:$D$158,MATCH(B32,'03 Personnes'!$B$9:$B$158,0)),"—"))</f>
      </c>
      <c r="E32" s="49"/>
      <c r="F32" s="49"/>
      <c r="G32" s="47">
        <f>IF(B32="","",IF(OR(F32="",F32&gt;=TODAY()),"Oui","Non"))</f>
      </c>
      <c r="H32" s="48">
        <f>IF(B32="","",IF(AND(E32&lt;&gt;"",F32&lt;&gt;"",F32&lt;E32),"⚠ Fin avant début",IF(COUNTIFS($B$9:$B$208,B32,$C$9:$C$208,C32,$E$9:$E$208,E32)&gt;1,"⚠ Doublon","✓")))</f>
      </c>
    </row>
    <row r="33" ht="21" customHeight="1" spans="2:8" x14ac:dyDescent="0.25">
      <c r="B33" s="46"/>
      <c r="C33" s="46"/>
      <c r="D33" s="47">
        <f>IF(B33="","",IFERROR(INDEX('03 Personnes'!$D$9:$D$158,MATCH(B33,'03 Personnes'!$B$9:$B$158,0)),"—"))</f>
      </c>
      <c r="E33" s="49"/>
      <c r="F33" s="49"/>
      <c r="G33" s="47">
        <f>IF(B33="","",IF(OR(F33="",F33&gt;=TODAY()),"Oui","Non"))</f>
      </c>
      <c r="H33" s="48">
        <f>IF(B33="","",IF(AND(E33&lt;&gt;"",F33&lt;&gt;"",F33&lt;E33),"⚠ Fin avant début",IF(COUNTIFS($B$9:$B$208,B33,$C$9:$C$208,C33,$E$9:$E$208,E33)&gt;1,"⚠ Doublon","✓")))</f>
      </c>
    </row>
    <row r="34" ht="21" customHeight="1" spans="2:8" x14ac:dyDescent="0.25">
      <c r="B34" s="46"/>
      <c r="C34" s="46"/>
      <c r="D34" s="47">
        <f>IF(B34="","",IFERROR(INDEX('03 Personnes'!$D$9:$D$158,MATCH(B34,'03 Personnes'!$B$9:$B$158,0)),"—"))</f>
      </c>
      <c r="E34" s="49"/>
      <c r="F34" s="49"/>
      <c r="G34" s="47">
        <f>IF(B34="","",IF(OR(F34="",F34&gt;=TODAY()),"Oui","Non"))</f>
      </c>
      <c r="H34" s="48">
        <f>IF(B34="","",IF(AND(E34&lt;&gt;"",F34&lt;&gt;"",F34&lt;E34),"⚠ Fin avant début",IF(COUNTIFS($B$9:$B$208,B34,$C$9:$C$208,C34,$E$9:$E$208,E34)&gt;1,"⚠ Doublon","✓")))</f>
      </c>
    </row>
    <row r="35" ht="21" customHeight="1" spans="2:8" x14ac:dyDescent="0.25">
      <c r="B35" s="46"/>
      <c r="C35" s="46"/>
      <c r="D35" s="47">
        <f>IF(B35="","",IFERROR(INDEX('03 Personnes'!$D$9:$D$158,MATCH(B35,'03 Personnes'!$B$9:$B$158,0)),"—"))</f>
      </c>
      <c r="E35" s="49"/>
      <c r="F35" s="49"/>
      <c r="G35" s="47">
        <f>IF(B35="","",IF(OR(F35="",F35&gt;=TODAY()),"Oui","Non"))</f>
      </c>
      <c r="H35" s="48">
        <f>IF(B35="","",IF(AND(E35&lt;&gt;"",F35&lt;&gt;"",F35&lt;E35),"⚠ Fin avant début",IF(COUNTIFS($B$9:$B$208,B35,$C$9:$C$208,C35,$E$9:$E$208,E35)&gt;1,"⚠ Doublon","✓")))</f>
      </c>
    </row>
    <row r="36" ht="21" customHeight="1" spans="2:8" x14ac:dyDescent="0.25">
      <c r="B36" s="46"/>
      <c r="C36" s="46"/>
      <c r="D36" s="47">
        <f>IF(B36="","",IFERROR(INDEX('03 Personnes'!$D$9:$D$158,MATCH(B36,'03 Personnes'!$B$9:$B$158,0)),"—"))</f>
      </c>
      <c r="E36" s="49"/>
      <c r="F36" s="49"/>
      <c r="G36" s="47">
        <f>IF(B36="","",IF(OR(F36="",F36&gt;=TODAY()),"Oui","Non"))</f>
      </c>
      <c r="H36" s="48">
        <f>IF(B36="","",IF(AND(E36&lt;&gt;"",F36&lt;&gt;"",F36&lt;E36),"⚠ Fin avant début",IF(COUNTIFS($B$9:$B$208,B36,$C$9:$C$208,C36,$E$9:$E$208,E36)&gt;1,"⚠ Doublon","✓")))</f>
      </c>
    </row>
    <row r="37" ht="21" customHeight="1" spans="2:8" x14ac:dyDescent="0.25">
      <c r="B37" s="46"/>
      <c r="C37" s="46"/>
      <c r="D37" s="47">
        <f>IF(B37="","",IFERROR(INDEX('03 Personnes'!$D$9:$D$158,MATCH(B37,'03 Personnes'!$B$9:$B$158,0)),"—"))</f>
      </c>
      <c r="E37" s="49"/>
      <c r="F37" s="49"/>
      <c r="G37" s="47">
        <f>IF(B37="","",IF(OR(F37="",F37&gt;=TODAY()),"Oui","Non"))</f>
      </c>
      <c r="H37" s="48">
        <f>IF(B37="","",IF(AND(E37&lt;&gt;"",F37&lt;&gt;"",F37&lt;E37),"⚠ Fin avant début",IF(COUNTIFS($B$9:$B$208,B37,$C$9:$C$208,C37,$E$9:$E$208,E37)&gt;1,"⚠ Doublon","✓")))</f>
      </c>
    </row>
    <row r="38" ht="21" customHeight="1" spans="2:8" x14ac:dyDescent="0.25">
      <c r="B38" s="46"/>
      <c r="C38" s="46"/>
      <c r="D38" s="47">
        <f>IF(B38="","",IFERROR(INDEX('03 Personnes'!$D$9:$D$158,MATCH(B38,'03 Personnes'!$B$9:$B$158,0)),"—"))</f>
      </c>
      <c r="E38" s="49"/>
      <c r="F38" s="49"/>
      <c r="G38" s="47">
        <f>IF(B38="","",IF(OR(F38="",F38&gt;=TODAY()),"Oui","Non"))</f>
      </c>
      <c r="H38" s="48">
        <f>IF(B38="","",IF(AND(E38&lt;&gt;"",F38&lt;&gt;"",F38&lt;E38),"⚠ Fin avant début",IF(COUNTIFS($B$9:$B$208,B38,$C$9:$C$208,C38,$E$9:$E$208,E38)&gt;1,"⚠ Doublon","✓")))</f>
      </c>
    </row>
    <row r="39" ht="21" customHeight="1" spans="2:8" x14ac:dyDescent="0.25">
      <c r="B39" s="46"/>
      <c r="C39" s="46"/>
      <c r="D39" s="47">
        <f>IF(B39="","",IFERROR(INDEX('03 Personnes'!$D$9:$D$158,MATCH(B39,'03 Personnes'!$B$9:$B$158,0)),"—"))</f>
      </c>
      <c r="E39" s="49"/>
      <c r="F39" s="49"/>
      <c r="G39" s="47">
        <f>IF(B39="","",IF(OR(F39="",F39&gt;=TODAY()),"Oui","Non"))</f>
      </c>
      <c r="H39" s="48">
        <f>IF(B39="","",IF(AND(E39&lt;&gt;"",F39&lt;&gt;"",F39&lt;E39),"⚠ Fin avant début",IF(COUNTIFS($B$9:$B$208,B39,$C$9:$C$208,C39,$E$9:$E$208,E39)&gt;1,"⚠ Doublon","✓")))</f>
      </c>
    </row>
    <row r="40" ht="21" customHeight="1" spans="2:8" x14ac:dyDescent="0.25">
      <c r="B40" s="46"/>
      <c r="C40" s="46"/>
      <c r="D40" s="47">
        <f>IF(B40="","",IFERROR(INDEX('03 Personnes'!$D$9:$D$158,MATCH(B40,'03 Personnes'!$B$9:$B$158,0)),"—"))</f>
      </c>
      <c r="E40" s="49"/>
      <c r="F40" s="49"/>
      <c r="G40" s="47">
        <f>IF(B40="","",IF(OR(F40="",F40&gt;=TODAY()),"Oui","Non"))</f>
      </c>
      <c r="H40" s="48">
        <f>IF(B40="","",IF(AND(E40&lt;&gt;"",F40&lt;&gt;"",F40&lt;E40),"⚠ Fin avant début",IF(COUNTIFS($B$9:$B$208,B40,$C$9:$C$208,C40,$E$9:$E$208,E40)&gt;1,"⚠ Doublon","✓")))</f>
      </c>
    </row>
    <row r="41" ht="21" customHeight="1" spans="2:8" x14ac:dyDescent="0.25">
      <c r="B41" s="46"/>
      <c r="C41" s="46"/>
      <c r="D41" s="47">
        <f>IF(B41="","",IFERROR(INDEX('03 Personnes'!$D$9:$D$158,MATCH(B41,'03 Personnes'!$B$9:$B$158,0)),"—"))</f>
      </c>
      <c r="E41" s="49"/>
      <c r="F41" s="49"/>
      <c r="G41" s="47">
        <f>IF(B41="","",IF(OR(F41="",F41&gt;=TODAY()),"Oui","Non"))</f>
      </c>
      <c r="H41" s="48">
        <f>IF(B41="","",IF(AND(E41&lt;&gt;"",F41&lt;&gt;"",F41&lt;E41),"⚠ Fin avant début",IF(COUNTIFS($B$9:$B$208,B41,$C$9:$C$208,C41,$E$9:$E$208,E41)&gt;1,"⚠ Doublon","✓")))</f>
      </c>
    </row>
    <row r="42" ht="21" customHeight="1" spans="2:8" x14ac:dyDescent="0.25">
      <c r="B42" s="46"/>
      <c r="C42" s="46"/>
      <c r="D42" s="47">
        <f>IF(B42="","",IFERROR(INDEX('03 Personnes'!$D$9:$D$158,MATCH(B42,'03 Personnes'!$B$9:$B$158,0)),"—"))</f>
      </c>
      <c r="E42" s="49"/>
      <c r="F42" s="49"/>
      <c r="G42" s="47">
        <f>IF(B42="","",IF(OR(F42="",F42&gt;=TODAY()),"Oui","Non"))</f>
      </c>
      <c r="H42" s="48">
        <f>IF(B42="","",IF(AND(E42&lt;&gt;"",F42&lt;&gt;"",F42&lt;E42),"⚠ Fin avant début",IF(COUNTIFS($B$9:$B$208,B42,$C$9:$C$208,C42,$E$9:$E$208,E42)&gt;1,"⚠ Doublon","✓")))</f>
      </c>
    </row>
    <row r="43" ht="21" customHeight="1" spans="2:8" x14ac:dyDescent="0.25">
      <c r="B43" s="46"/>
      <c r="C43" s="46"/>
      <c r="D43" s="47">
        <f>IF(B43="","",IFERROR(INDEX('03 Personnes'!$D$9:$D$158,MATCH(B43,'03 Personnes'!$B$9:$B$158,0)),"—"))</f>
      </c>
      <c r="E43" s="49"/>
      <c r="F43" s="49"/>
      <c r="G43" s="47">
        <f>IF(B43="","",IF(OR(F43="",F43&gt;=TODAY()),"Oui","Non"))</f>
      </c>
      <c r="H43" s="48">
        <f>IF(B43="","",IF(AND(E43&lt;&gt;"",F43&lt;&gt;"",F43&lt;E43),"⚠ Fin avant début",IF(COUNTIFS($B$9:$B$208,B43,$C$9:$C$208,C43,$E$9:$E$208,E43)&gt;1,"⚠ Doublon","✓")))</f>
      </c>
    </row>
    <row r="44" ht="21" customHeight="1" spans="2:8" x14ac:dyDescent="0.25">
      <c r="B44" s="46"/>
      <c r="C44" s="46"/>
      <c r="D44" s="47">
        <f>IF(B44="","",IFERROR(INDEX('03 Personnes'!$D$9:$D$158,MATCH(B44,'03 Personnes'!$B$9:$B$158,0)),"—"))</f>
      </c>
      <c r="E44" s="49"/>
      <c r="F44" s="49"/>
      <c r="G44" s="47">
        <f>IF(B44="","",IF(OR(F44="",F44&gt;=TODAY()),"Oui","Non"))</f>
      </c>
      <c r="H44" s="48">
        <f>IF(B44="","",IF(AND(E44&lt;&gt;"",F44&lt;&gt;"",F44&lt;E44),"⚠ Fin avant début",IF(COUNTIFS($B$9:$B$208,B44,$C$9:$C$208,C44,$E$9:$E$208,E44)&gt;1,"⚠ Doublon","✓")))</f>
      </c>
    </row>
    <row r="45" ht="21" customHeight="1" spans="2:8" x14ac:dyDescent="0.25">
      <c r="B45" s="46"/>
      <c r="C45" s="46"/>
      <c r="D45" s="47">
        <f>IF(B45="","",IFERROR(INDEX('03 Personnes'!$D$9:$D$158,MATCH(B45,'03 Personnes'!$B$9:$B$158,0)),"—"))</f>
      </c>
      <c r="E45" s="49"/>
      <c r="F45" s="49"/>
      <c r="G45" s="47">
        <f>IF(B45="","",IF(OR(F45="",F45&gt;=TODAY()),"Oui","Non"))</f>
      </c>
      <c r="H45" s="48">
        <f>IF(B45="","",IF(AND(E45&lt;&gt;"",F45&lt;&gt;"",F45&lt;E45),"⚠ Fin avant début",IF(COUNTIFS($B$9:$B$208,B45,$C$9:$C$208,C45,$E$9:$E$208,E45)&gt;1,"⚠ Doublon","✓")))</f>
      </c>
    </row>
    <row r="46" ht="21" customHeight="1" spans="2:8" x14ac:dyDescent="0.25">
      <c r="B46" s="46"/>
      <c r="C46" s="46"/>
      <c r="D46" s="47">
        <f>IF(B46="","",IFERROR(INDEX('03 Personnes'!$D$9:$D$158,MATCH(B46,'03 Personnes'!$B$9:$B$158,0)),"—"))</f>
      </c>
      <c r="E46" s="49"/>
      <c r="F46" s="49"/>
      <c r="G46" s="47">
        <f>IF(B46="","",IF(OR(F46="",F46&gt;=TODAY()),"Oui","Non"))</f>
      </c>
      <c r="H46" s="48">
        <f>IF(B46="","",IF(AND(E46&lt;&gt;"",F46&lt;&gt;"",F46&lt;E46),"⚠ Fin avant début",IF(COUNTIFS($B$9:$B$208,B46,$C$9:$C$208,C46,$E$9:$E$208,E46)&gt;1,"⚠ Doublon","✓")))</f>
      </c>
    </row>
    <row r="47" ht="21" customHeight="1" spans="2:8" x14ac:dyDescent="0.25">
      <c r="B47" s="46"/>
      <c r="C47" s="46"/>
      <c r="D47" s="47">
        <f>IF(B47="","",IFERROR(INDEX('03 Personnes'!$D$9:$D$158,MATCH(B47,'03 Personnes'!$B$9:$B$158,0)),"—"))</f>
      </c>
      <c r="E47" s="49"/>
      <c r="F47" s="49"/>
      <c r="G47" s="47">
        <f>IF(B47="","",IF(OR(F47="",F47&gt;=TODAY()),"Oui","Non"))</f>
      </c>
      <c r="H47" s="48">
        <f>IF(B47="","",IF(AND(E47&lt;&gt;"",F47&lt;&gt;"",F47&lt;E47),"⚠ Fin avant début",IF(COUNTIFS($B$9:$B$208,B47,$C$9:$C$208,C47,$E$9:$E$208,E47)&gt;1,"⚠ Doublon","✓")))</f>
      </c>
    </row>
    <row r="48" ht="21" customHeight="1" spans="2:8" x14ac:dyDescent="0.25">
      <c r="B48" s="46"/>
      <c r="C48" s="46"/>
      <c r="D48" s="47">
        <f>IF(B48="","",IFERROR(INDEX('03 Personnes'!$D$9:$D$158,MATCH(B48,'03 Personnes'!$B$9:$B$158,0)),"—"))</f>
      </c>
      <c r="E48" s="49"/>
      <c r="F48" s="49"/>
      <c r="G48" s="47">
        <f>IF(B48="","",IF(OR(F48="",F48&gt;=TODAY()),"Oui","Non"))</f>
      </c>
      <c r="H48" s="48">
        <f>IF(B48="","",IF(AND(E48&lt;&gt;"",F48&lt;&gt;"",F48&lt;E48),"⚠ Fin avant début",IF(COUNTIFS($B$9:$B$208,B48,$C$9:$C$208,C48,$E$9:$E$208,E48)&gt;1,"⚠ Doublon","✓")))</f>
      </c>
    </row>
    <row r="49" ht="21" customHeight="1" spans="2:8" x14ac:dyDescent="0.25">
      <c r="B49" s="46"/>
      <c r="C49" s="46"/>
      <c r="D49" s="47">
        <f>IF(B49="","",IFERROR(INDEX('03 Personnes'!$D$9:$D$158,MATCH(B49,'03 Personnes'!$B$9:$B$158,0)),"—"))</f>
      </c>
      <c r="E49" s="49"/>
      <c r="F49" s="49"/>
      <c r="G49" s="47">
        <f>IF(B49="","",IF(OR(F49="",F49&gt;=TODAY()),"Oui","Non"))</f>
      </c>
      <c r="H49" s="48">
        <f>IF(B49="","",IF(AND(E49&lt;&gt;"",F49&lt;&gt;"",F49&lt;E49),"⚠ Fin avant début",IF(COUNTIFS($B$9:$B$208,B49,$C$9:$C$208,C49,$E$9:$E$208,E49)&gt;1,"⚠ Doublon","✓")))</f>
      </c>
    </row>
    <row r="50" ht="21" customHeight="1" spans="2:8" x14ac:dyDescent="0.25">
      <c r="B50" s="46"/>
      <c r="C50" s="46"/>
      <c r="D50" s="47">
        <f>IF(B50="","",IFERROR(INDEX('03 Personnes'!$D$9:$D$158,MATCH(B50,'03 Personnes'!$B$9:$B$158,0)),"—"))</f>
      </c>
      <c r="E50" s="49"/>
      <c r="F50" s="49"/>
      <c r="G50" s="47">
        <f>IF(B50="","",IF(OR(F50="",F50&gt;=TODAY()),"Oui","Non"))</f>
      </c>
      <c r="H50" s="48">
        <f>IF(B50="","",IF(AND(E50&lt;&gt;"",F50&lt;&gt;"",F50&lt;E50),"⚠ Fin avant début",IF(COUNTIFS($B$9:$B$208,B50,$C$9:$C$208,C50,$E$9:$E$208,E50)&gt;1,"⚠ Doublon","✓")))</f>
      </c>
    </row>
    <row r="51" ht="21" customHeight="1" spans="2:8" x14ac:dyDescent="0.25">
      <c r="B51" s="46"/>
      <c r="C51" s="46"/>
      <c r="D51" s="47">
        <f>IF(B51="","",IFERROR(INDEX('03 Personnes'!$D$9:$D$158,MATCH(B51,'03 Personnes'!$B$9:$B$158,0)),"—"))</f>
      </c>
      <c r="E51" s="49"/>
      <c r="F51" s="49"/>
      <c r="G51" s="47">
        <f>IF(B51="","",IF(OR(F51="",F51&gt;=TODAY()),"Oui","Non"))</f>
      </c>
      <c r="H51" s="48">
        <f>IF(B51="","",IF(AND(E51&lt;&gt;"",F51&lt;&gt;"",F51&lt;E51),"⚠ Fin avant début",IF(COUNTIFS($B$9:$B$208,B51,$C$9:$C$208,C51,$E$9:$E$208,E51)&gt;1,"⚠ Doublon","✓")))</f>
      </c>
    </row>
    <row r="52" ht="21" customHeight="1" spans="2:8" x14ac:dyDescent="0.25">
      <c r="B52" s="46"/>
      <c r="C52" s="46"/>
      <c r="D52" s="47">
        <f>IF(B52="","",IFERROR(INDEX('03 Personnes'!$D$9:$D$158,MATCH(B52,'03 Personnes'!$B$9:$B$158,0)),"—"))</f>
      </c>
      <c r="E52" s="49"/>
      <c r="F52" s="49"/>
      <c r="G52" s="47">
        <f>IF(B52="","",IF(OR(F52="",F52&gt;=TODAY()),"Oui","Non"))</f>
      </c>
      <c r="H52" s="48">
        <f>IF(B52="","",IF(AND(E52&lt;&gt;"",F52&lt;&gt;"",F52&lt;E52),"⚠ Fin avant début",IF(COUNTIFS($B$9:$B$208,B52,$C$9:$C$208,C52,$E$9:$E$208,E52)&gt;1,"⚠ Doublon","✓")))</f>
      </c>
    </row>
    <row r="53" ht="21" customHeight="1" spans="2:8" x14ac:dyDescent="0.25">
      <c r="B53" s="46"/>
      <c r="C53" s="46"/>
      <c r="D53" s="47">
        <f>IF(B53="","",IFERROR(INDEX('03 Personnes'!$D$9:$D$158,MATCH(B53,'03 Personnes'!$B$9:$B$158,0)),"—"))</f>
      </c>
      <c r="E53" s="49"/>
      <c r="F53" s="49"/>
      <c r="G53" s="47">
        <f>IF(B53="","",IF(OR(F53="",F53&gt;=TODAY()),"Oui","Non"))</f>
      </c>
      <c r="H53" s="48">
        <f>IF(B53="","",IF(AND(E53&lt;&gt;"",F53&lt;&gt;"",F53&lt;E53),"⚠ Fin avant début",IF(COUNTIFS($B$9:$B$208,B53,$C$9:$C$208,C53,$E$9:$E$208,E53)&gt;1,"⚠ Doublon","✓")))</f>
      </c>
    </row>
    <row r="54" ht="21" customHeight="1" spans="2:8" x14ac:dyDescent="0.25">
      <c r="B54" s="46"/>
      <c r="C54" s="46"/>
      <c r="D54" s="47">
        <f>IF(B54="","",IFERROR(INDEX('03 Personnes'!$D$9:$D$158,MATCH(B54,'03 Personnes'!$B$9:$B$158,0)),"—"))</f>
      </c>
      <c r="E54" s="49"/>
      <c r="F54" s="49"/>
      <c r="G54" s="47">
        <f>IF(B54="","",IF(OR(F54="",F54&gt;=TODAY()),"Oui","Non"))</f>
      </c>
      <c r="H54" s="48">
        <f>IF(B54="","",IF(AND(E54&lt;&gt;"",F54&lt;&gt;"",F54&lt;E54),"⚠ Fin avant début",IF(COUNTIFS($B$9:$B$208,B54,$C$9:$C$208,C54,$E$9:$E$208,E54)&gt;1,"⚠ Doublon","✓")))</f>
      </c>
    </row>
    <row r="55" ht="21" customHeight="1" spans="2:8" x14ac:dyDescent="0.25">
      <c r="B55" s="46"/>
      <c r="C55" s="46"/>
      <c r="D55" s="47">
        <f>IF(B55="","",IFERROR(INDEX('03 Personnes'!$D$9:$D$158,MATCH(B55,'03 Personnes'!$B$9:$B$158,0)),"—"))</f>
      </c>
      <c r="E55" s="49"/>
      <c r="F55" s="49"/>
      <c r="G55" s="47">
        <f>IF(B55="","",IF(OR(F55="",F55&gt;=TODAY()),"Oui","Non"))</f>
      </c>
      <c r="H55" s="48">
        <f>IF(B55="","",IF(AND(E55&lt;&gt;"",F55&lt;&gt;"",F55&lt;E55),"⚠ Fin avant début",IF(COUNTIFS($B$9:$B$208,B55,$C$9:$C$208,C55,$E$9:$E$208,E55)&gt;1,"⚠ Doublon","✓")))</f>
      </c>
    </row>
    <row r="56" ht="21" customHeight="1" spans="2:8" x14ac:dyDescent="0.25">
      <c r="B56" s="46"/>
      <c r="C56" s="46"/>
      <c r="D56" s="47">
        <f>IF(B56="","",IFERROR(INDEX('03 Personnes'!$D$9:$D$158,MATCH(B56,'03 Personnes'!$B$9:$B$158,0)),"—"))</f>
      </c>
      <c r="E56" s="49"/>
      <c r="F56" s="49"/>
      <c r="G56" s="47">
        <f>IF(B56="","",IF(OR(F56="",F56&gt;=TODAY()),"Oui","Non"))</f>
      </c>
      <c r="H56" s="48">
        <f>IF(B56="","",IF(AND(E56&lt;&gt;"",F56&lt;&gt;"",F56&lt;E56),"⚠ Fin avant début",IF(COUNTIFS($B$9:$B$208,B56,$C$9:$C$208,C56,$E$9:$E$208,E56)&gt;1,"⚠ Doublon","✓")))</f>
      </c>
    </row>
    <row r="57" ht="21" customHeight="1" spans="2:8" x14ac:dyDescent="0.25">
      <c r="B57" s="46"/>
      <c r="C57" s="46"/>
      <c r="D57" s="47">
        <f>IF(B57="","",IFERROR(INDEX('03 Personnes'!$D$9:$D$158,MATCH(B57,'03 Personnes'!$B$9:$B$158,0)),"—"))</f>
      </c>
      <c r="E57" s="49"/>
      <c r="F57" s="49"/>
      <c r="G57" s="47">
        <f>IF(B57="","",IF(OR(F57="",F57&gt;=TODAY()),"Oui","Non"))</f>
      </c>
      <c r="H57" s="48">
        <f>IF(B57="","",IF(AND(E57&lt;&gt;"",F57&lt;&gt;"",F57&lt;E57),"⚠ Fin avant début",IF(COUNTIFS($B$9:$B$208,B57,$C$9:$C$208,C57,$E$9:$E$208,E57)&gt;1,"⚠ Doublon","✓")))</f>
      </c>
    </row>
    <row r="58" ht="21" customHeight="1" spans="2:8" x14ac:dyDescent="0.25">
      <c r="B58" s="46"/>
      <c r="C58" s="46"/>
      <c r="D58" s="47">
        <f>IF(B58="","",IFERROR(INDEX('03 Personnes'!$D$9:$D$158,MATCH(B58,'03 Personnes'!$B$9:$B$158,0)),"—"))</f>
      </c>
      <c r="E58" s="49"/>
      <c r="F58" s="49"/>
      <c r="G58" s="47">
        <f>IF(B58="","",IF(OR(F58="",F58&gt;=TODAY()),"Oui","Non"))</f>
      </c>
      <c r="H58" s="48">
        <f>IF(B58="","",IF(AND(E58&lt;&gt;"",F58&lt;&gt;"",F58&lt;E58),"⚠ Fin avant début",IF(COUNTIFS($B$9:$B$208,B58,$C$9:$C$208,C58,$E$9:$E$208,E58)&gt;1,"⚠ Doublon","✓")))</f>
      </c>
    </row>
    <row r="59" ht="21" customHeight="1" spans="2:8" x14ac:dyDescent="0.25">
      <c r="B59" s="46"/>
      <c r="C59" s="46"/>
      <c r="D59" s="47">
        <f>IF(B59="","",IFERROR(INDEX('03 Personnes'!$D$9:$D$158,MATCH(B59,'03 Personnes'!$B$9:$B$158,0)),"—"))</f>
      </c>
      <c r="E59" s="49"/>
      <c r="F59" s="49"/>
      <c r="G59" s="47">
        <f>IF(B59="","",IF(OR(F59="",F59&gt;=TODAY()),"Oui","Non"))</f>
      </c>
      <c r="H59" s="48">
        <f>IF(B59="","",IF(AND(E59&lt;&gt;"",F59&lt;&gt;"",F59&lt;E59),"⚠ Fin avant début",IF(COUNTIFS($B$9:$B$208,B59,$C$9:$C$208,C59,$E$9:$E$208,E59)&gt;1,"⚠ Doublon","✓")))</f>
      </c>
    </row>
    <row r="60" ht="21" customHeight="1" spans="2:8" x14ac:dyDescent="0.25">
      <c r="B60" s="46"/>
      <c r="C60" s="46"/>
      <c r="D60" s="47">
        <f>IF(B60="","",IFERROR(INDEX('03 Personnes'!$D$9:$D$158,MATCH(B60,'03 Personnes'!$B$9:$B$158,0)),"—"))</f>
      </c>
      <c r="E60" s="49"/>
      <c r="F60" s="49"/>
      <c r="G60" s="47">
        <f>IF(B60="","",IF(OR(F60="",F60&gt;=TODAY()),"Oui","Non"))</f>
      </c>
      <c r="H60" s="48">
        <f>IF(B60="","",IF(AND(E60&lt;&gt;"",F60&lt;&gt;"",F60&lt;E60),"⚠ Fin avant début",IF(COUNTIFS($B$9:$B$208,B60,$C$9:$C$208,C60,$E$9:$E$208,E60)&gt;1,"⚠ Doublon","✓")))</f>
      </c>
    </row>
    <row r="61" ht="21" customHeight="1" spans="2:8" x14ac:dyDescent="0.25">
      <c r="B61" s="46"/>
      <c r="C61" s="46"/>
      <c r="D61" s="47">
        <f>IF(B61="","",IFERROR(INDEX('03 Personnes'!$D$9:$D$158,MATCH(B61,'03 Personnes'!$B$9:$B$158,0)),"—"))</f>
      </c>
      <c r="E61" s="49"/>
      <c r="F61" s="49"/>
      <c r="G61" s="47">
        <f>IF(B61="","",IF(OR(F61="",F61&gt;=TODAY()),"Oui","Non"))</f>
      </c>
      <c r="H61" s="48">
        <f>IF(B61="","",IF(AND(E61&lt;&gt;"",F61&lt;&gt;"",F61&lt;E61),"⚠ Fin avant début",IF(COUNTIFS($B$9:$B$208,B61,$C$9:$C$208,C61,$E$9:$E$208,E61)&gt;1,"⚠ Doublon","✓")))</f>
      </c>
    </row>
    <row r="62" ht="21" customHeight="1" spans="2:8" x14ac:dyDescent="0.25">
      <c r="B62" s="46"/>
      <c r="C62" s="46"/>
      <c r="D62" s="47">
        <f>IF(B62="","",IFERROR(INDEX('03 Personnes'!$D$9:$D$158,MATCH(B62,'03 Personnes'!$B$9:$B$158,0)),"—"))</f>
      </c>
      <c r="E62" s="49"/>
      <c r="F62" s="49"/>
      <c r="G62" s="47">
        <f>IF(B62="","",IF(OR(F62="",F62&gt;=TODAY()),"Oui","Non"))</f>
      </c>
      <c r="H62" s="48">
        <f>IF(B62="","",IF(AND(E62&lt;&gt;"",F62&lt;&gt;"",F62&lt;E62),"⚠ Fin avant début",IF(COUNTIFS($B$9:$B$208,B62,$C$9:$C$208,C62,$E$9:$E$208,E62)&gt;1,"⚠ Doublon","✓")))</f>
      </c>
    </row>
    <row r="63" ht="21" customHeight="1" spans="2:8" x14ac:dyDescent="0.25">
      <c r="B63" s="46"/>
      <c r="C63" s="46"/>
      <c r="D63" s="47">
        <f>IF(B63="","",IFERROR(INDEX('03 Personnes'!$D$9:$D$158,MATCH(B63,'03 Personnes'!$B$9:$B$158,0)),"—"))</f>
      </c>
      <c r="E63" s="49"/>
      <c r="F63" s="49"/>
      <c r="G63" s="47">
        <f>IF(B63="","",IF(OR(F63="",F63&gt;=TODAY()),"Oui","Non"))</f>
      </c>
      <c r="H63" s="48">
        <f>IF(B63="","",IF(AND(E63&lt;&gt;"",F63&lt;&gt;"",F63&lt;E63),"⚠ Fin avant début",IF(COUNTIFS($B$9:$B$208,B63,$C$9:$C$208,C63,$E$9:$E$208,E63)&gt;1,"⚠ Doublon","✓")))</f>
      </c>
    </row>
    <row r="64" ht="21" customHeight="1" spans="2:8" x14ac:dyDescent="0.25">
      <c r="B64" s="46"/>
      <c r="C64" s="46"/>
      <c r="D64" s="47">
        <f>IF(B64="","",IFERROR(INDEX('03 Personnes'!$D$9:$D$158,MATCH(B64,'03 Personnes'!$B$9:$B$158,0)),"—"))</f>
      </c>
      <c r="E64" s="49"/>
      <c r="F64" s="49"/>
      <c r="G64" s="47">
        <f>IF(B64="","",IF(OR(F64="",F64&gt;=TODAY()),"Oui","Non"))</f>
      </c>
      <c r="H64" s="48">
        <f>IF(B64="","",IF(AND(E64&lt;&gt;"",F64&lt;&gt;"",F64&lt;E64),"⚠ Fin avant début",IF(COUNTIFS($B$9:$B$208,B64,$C$9:$C$208,C64,$E$9:$E$208,E64)&gt;1,"⚠ Doublon","✓")))</f>
      </c>
    </row>
    <row r="65" ht="21" customHeight="1" spans="2:8" x14ac:dyDescent="0.25">
      <c r="B65" s="46"/>
      <c r="C65" s="46"/>
      <c r="D65" s="47">
        <f>IF(B65="","",IFERROR(INDEX('03 Personnes'!$D$9:$D$158,MATCH(B65,'03 Personnes'!$B$9:$B$158,0)),"—"))</f>
      </c>
      <c r="E65" s="49"/>
      <c r="F65" s="49"/>
      <c r="G65" s="47">
        <f>IF(B65="","",IF(OR(F65="",F65&gt;=TODAY()),"Oui","Non"))</f>
      </c>
      <c r="H65" s="48">
        <f>IF(B65="","",IF(AND(E65&lt;&gt;"",F65&lt;&gt;"",F65&lt;E65),"⚠ Fin avant début",IF(COUNTIFS($B$9:$B$208,B65,$C$9:$C$208,C65,$E$9:$E$208,E65)&gt;1,"⚠ Doublon","✓")))</f>
      </c>
    </row>
    <row r="66" ht="21" customHeight="1" spans="2:8" x14ac:dyDescent="0.25">
      <c r="B66" s="46"/>
      <c r="C66" s="46"/>
      <c r="D66" s="47">
        <f>IF(B66="","",IFERROR(INDEX('03 Personnes'!$D$9:$D$158,MATCH(B66,'03 Personnes'!$B$9:$B$158,0)),"—"))</f>
      </c>
      <c r="E66" s="49"/>
      <c r="F66" s="49"/>
      <c r="G66" s="47">
        <f>IF(B66="","",IF(OR(F66="",F66&gt;=TODAY()),"Oui","Non"))</f>
      </c>
      <c r="H66" s="48">
        <f>IF(B66="","",IF(AND(E66&lt;&gt;"",F66&lt;&gt;"",F66&lt;E66),"⚠ Fin avant début",IF(COUNTIFS($B$9:$B$208,B66,$C$9:$C$208,C66,$E$9:$E$208,E66)&gt;1,"⚠ Doublon","✓")))</f>
      </c>
    </row>
    <row r="67" ht="21" customHeight="1" spans="2:8" x14ac:dyDescent="0.25">
      <c r="B67" s="46"/>
      <c r="C67" s="46"/>
      <c r="D67" s="47">
        <f>IF(B67="","",IFERROR(INDEX('03 Personnes'!$D$9:$D$158,MATCH(B67,'03 Personnes'!$B$9:$B$158,0)),"—"))</f>
      </c>
      <c r="E67" s="49"/>
      <c r="F67" s="49"/>
      <c r="G67" s="47">
        <f>IF(B67="","",IF(OR(F67="",F67&gt;=TODAY()),"Oui","Non"))</f>
      </c>
      <c r="H67" s="48">
        <f>IF(B67="","",IF(AND(E67&lt;&gt;"",F67&lt;&gt;"",F67&lt;E67),"⚠ Fin avant début",IF(COUNTIFS($B$9:$B$208,B67,$C$9:$C$208,C67,$E$9:$E$208,E67)&gt;1,"⚠ Doublon","✓")))</f>
      </c>
    </row>
    <row r="68" ht="21" customHeight="1" spans="2:8" x14ac:dyDescent="0.25">
      <c r="B68" s="46"/>
      <c r="C68" s="46"/>
      <c r="D68" s="47">
        <f>IF(B68="","",IFERROR(INDEX('03 Personnes'!$D$9:$D$158,MATCH(B68,'03 Personnes'!$B$9:$B$158,0)),"—"))</f>
      </c>
      <c r="E68" s="49"/>
      <c r="F68" s="49"/>
      <c r="G68" s="47">
        <f>IF(B68="","",IF(OR(F68="",F68&gt;=TODAY()),"Oui","Non"))</f>
      </c>
      <c r="H68" s="48">
        <f>IF(B68="","",IF(AND(E68&lt;&gt;"",F68&lt;&gt;"",F68&lt;E68),"⚠ Fin avant début",IF(COUNTIFS($B$9:$B$208,B68,$C$9:$C$208,C68,$E$9:$E$208,E68)&gt;1,"⚠ Doublon","✓")))</f>
      </c>
    </row>
    <row r="69" ht="21" customHeight="1" spans="2:8" x14ac:dyDescent="0.25">
      <c r="B69" s="46"/>
      <c r="C69" s="46"/>
      <c r="D69" s="47">
        <f>IF(B69="","",IFERROR(INDEX('03 Personnes'!$D$9:$D$158,MATCH(B69,'03 Personnes'!$B$9:$B$158,0)),"—"))</f>
      </c>
      <c r="E69" s="49"/>
      <c r="F69" s="49"/>
      <c r="G69" s="47">
        <f>IF(B69="","",IF(OR(F69="",F69&gt;=TODAY()),"Oui","Non"))</f>
      </c>
      <c r="H69" s="48">
        <f>IF(B69="","",IF(AND(E69&lt;&gt;"",F69&lt;&gt;"",F69&lt;E69),"⚠ Fin avant début",IF(COUNTIFS($B$9:$B$208,B69,$C$9:$C$208,C69,$E$9:$E$208,E69)&gt;1,"⚠ Doublon","✓")))</f>
      </c>
    </row>
    <row r="70" ht="21" customHeight="1" spans="2:8" x14ac:dyDescent="0.25">
      <c r="B70" s="46"/>
      <c r="C70" s="46"/>
      <c r="D70" s="47">
        <f>IF(B70="","",IFERROR(INDEX('03 Personnes'!$D$9:$D$158,MATCH(B70,'03 Personnes'!$B$9:$B$158,0)),"—"))</f>
      </c>
      <c r="E70" s="49"/>
      <c r="F70" s="49"/>
      <c r="G70" s="47">
        <f>IF(B70="","",IF(OR(F70="",F70&gt;=TODAY()),"Oui","Non"))</f>
      </c>
      <c r="H70" s="48">
        <f>IF(B70="","",IF(AND(E70&lt;&gt;"",F70&lt;&gt;"",F70&lt;E70),"⚠ Fin avant début",IF(COUNTIFS($B$9:$B$208,B70,$C$9:$C$208,C70,$E$9:$E$208,E70)&gt;1,"⚠ Doublon","✓")))</f>
      </c>
    </row>
    <row r="71" ht="21" customHeight="1" spans="2:8" x14ac:dyDescent="0.25">
      <c r="B71" s="46"/>
      <c r="C71" s="46"/>
      <c r="D71" s="47">
        <f>IF(B71="","",IFERROR(INDEX('03 Personnes'!$D$9:$D$158,MATCH(B71,'03 Personnes'!$B$9:$B$158,0)),"—"))</f>
      </c>
      <c r="E71" s="49"/>
      <c r="F71" s="49"/>
      <c r="G71" s="47">
        <f>IF(B71="","",IF(OR(F71="",F71&gt;=TODAY()),"Oui","Non"))</f>
      </c>
      <c r="H71" s="48">
        <f>IF(B71="","",IF(AND(E71&lt;&gt;"",F71&lt;&gt;"",F71&lt;E71),"⚠ Fin avant début",IF(COUNTIFS($B$9:$B$208,B71,$C$9:$C$208,C71,$E$9:$E$208,E71)&gt;1,"⚠ Doublon","✓")))</f>
      </c>
    </row>
    <row r="72" ht="21" customHeight="1" spans="2:8" x14ac:dyDescent="0.25">
      <c r="B72" s="46"/>
      <c r="C72" s="46"/>
      <c r="D72" s="47">
        <f>IF(B72="","",IFERROR(INDEX('03 Personnes'!$D$9:$D$158,MATCH(B72,'03 Personnes'!$B$9:$B$158,0)),"—"))</f>
      </c>
      <c r="E72" s="49"/>
      <c r="F72" s="49"/>
      <c r="G72" s="47">
        <f>IF(B72="","",IF(OR(F72="",F72&gt;=TODAY()),"Oui","Non"))</f>
      </c>
      <c r="H72" s="48">
        <f>IF(B72="","",IF(AND(E72&lt;&gt;"",F72&lt;&gt;"",F72&lt;E72),"⚠ Fin avant début",IF(COUNTIFS($B$9:$B$208,B72,$C$9:$C$208,C72,$E$9:$E$208,E72)&gt;1,"⚠ Doublon","✓")))</f>
      </c>
    </row>
    <row r="73" ht="21" customHeight="1" spans="2:8" x14ac:dyDescent="0.25">
      <c r="B73" s="46"/>
      <c r="C73" s="46"/>
      <c r="D73" s="47">
        <f>IF(B73="","",IFERROR(INDEX('03 Personnes'!$D$9:$D$158,MATCH(B73,'03 Personnes'!$B$9:$B$158,0)),"—"))</f>
      </c>
      <c r="E73" s="49"/>
      <c r="F73" s="49"/>
      <c r="G73" s="47">
        <f>IF(B73="","",IF(OR(F73="",F73&gt;=TODAY()),"Oui","Non"))</f>
      </c>
      <c r="H73" s="48">
        <f>IF(B73="","",IF(AND(E73&lt;&gt;"",F73&lt;&gt;"",F73&lt;E73),"⚠ Fin avant début",IF(COUNTIFS($B$9:$B$208,B73,$C$9:$C$208,C73,$E$9:$E$208,E73)&gt;1,"⚠ Doublon","✓")))</f>
      </c>
    </row>
    <row r="74" ht="21" customHeight="1" spans="2:8" x14ac:dyDescent="0.25">
      <c r="B74" s="46"/>
      <c r="C74" s="46"/>
      <c r="D74" s="47">
        <f>IF(B74="","",IFERROR(INDEX('03 Personnes'!$D$9:$D$158,MATCH(B74,'03 Personnes'!$B$9:$B$158,0)),"—"))</f>
      </c>
      <c r="E74" s="49"/>
      <c r="F74" s="49"/>
      <c r="G74" s="47">
        <f>IF(B74="","",IF(OR(F74="",F74&gt;=TODAY()),"Oui","Non"))</f>
      </c>
      <c r="H74" s="48">
        <f>IF(B74="","",IF(AND(E74&lt;&gt;"",F74&lt;&gt;"",F74&lt;E74),"⚠ Fin avant début",IF(COUNTIFS($B$9:$B$208,B74,$C$9:$C$208,C74,$E$9:$E$208,E74)&gt;1,"⚠ Doublon","✓")))</f>
      </c>
    </row>
    <row r="75" ht="21" customHeight="1" spans="2:8" x14ac:dyDescent="0.25">
      <c r="B75" s="46"/>
      <c r="C75" s="46"/>
      <c r="D75" s="47">
        <f>IF(B75="","",IFERROR(INDEX('03 Personnes'!$D$9:$D$158,MATCH(B75,'03 Personnes'!$B$9:$B$158,0)),"—"))</f>
      </c>
      <c r="E75" s="49"/>
      <c r="F75" s="49"/>
      <c r="G75" s="47">
        <f>IF(B75="","",IF(OR(F75="",F75&gt;=TODAY()),"Oui","Non"))</f>
      </c>
      <c r="H75" s="48">
        <f>IF(B75="","",IF(AND(E75&lt;&gt;"",F75&lt;&gt;"",F75&lt;E75),"⚠ Fin avant début",IF(COUNTIFS($B$9:$B$208,B75,$C$9:$C$208,C75,$E$9:$E$208,E75)&gt;1,"⚠ Doublon","✓")))</f>
      </c>
    </row>
    <row r="76" ht="21" customHeight="1" spans="2:8" x14ac:dyDescent="0.25">
      <c r="B76" s="46"/>
      <c r="C76" s="46"/>
      <c r="D76" s="47">
        <f>IF(B76="","",IFERROR(INDEX('03 Personnes'!$D$9:$D$158,MATCH(B76,'03 Personnes'!$B$9:$B$158,0)),"—"))</f>
      </c>
      <c r="E76" s="49"/>
      <c r="F76" s="49"/>
      <c r="G76" s="47">
        <f>IF(B76="","",IF(OR(F76="",F76&gt;=TODAY()),"Oui","Non"))</f>
      </c>
      <c r="H76" s="48">
        <f>IF(B76="","",IF(AND(E76&lt;&gt;"",F76&lt;&gt;"",F76&lt;E76),"⚠ Fin avant début",IF(COUNTIFS($B$9:$B$208,B76,$C$9:$C$208,C76,$E$9:$E$208,E76)&gt;1,"⚠ Doublon","✓")))</f>
      </c>
    </row>
    <row r="77" ht="21" customHeight="1" spans="2:8" x14ac:dyDescent="0.25">
      <c r="B77" s="46"/>
      <c r="C77" s="46"/>
      <c r="D77" s="47">
        <f>IF(B77="","",IFERROR(INDEX('03 Personnes'!$D$9:$D$158,MATCH(B77,'03 Personnes'!$B$9:$B$158,0)),"—"))</f>
      </c>
      <c r="E77" s="49"/>
      <c r="F77" s="49"/>
      <c r="G77" s="47">
        <f>IF(B77="","",IF(OR(F77="",F77&gt;=TODAY()),"Oui","Non"))</f>
      </c>
      <c r="H77" s="48">
        <f>IF(B77="","",IF(AND(E77&lt;&gt;"",F77&lt;&gt;"",F77&lt;E77),"⚠ Fin avant début",IF(COUNTIFS($B$9:$B$208,B77,$C$9:$C$208,C77,$E$9:$E$208,E77)&gt;1,"⚠ Doublon","✓")))</f>
      </c>
    </row>
    <row r="78" ht="21" customHeight="1" spans="2:8" x14ac:dyDescent="0.25">
      <c r="B78" s="46"/>
      <c r="C78" s="46"/>
      <c r="D78" s="47">
        <f>IF(B78="","",IFERROR(INDEX('03 Personnes'!$D$9:$D$158,MATCH(B78,'03 Personnes'!$B$9:$B$158,0)),"—"))</f>
      </c>
      <c r="E78" s="49"/>
      <c r="F78" s="49"/>
      <c r="G78" s="47">
        <f>IF(B78="","",IF(OR(F78="",F78&gt;=TODAY()),"Oui","Non"))</f>
      </c>
      <c r="H78" s="48">
        <f>IF(B78="","",IF(AND(E78&lt;&gt;"",F78&lt;&gt;"",F78&lt;E78),"⚠ Fin avant début",IF(COUNTIFS($B$9:$B$208,B78,$C$9:$C$208,C78,$E$9:$E$208,E78)&gt;1,"⚠ Doublon","✓")))</f>
      </c>
    </row>
    <row r="79" ht="21" customHeight="1" spans="2:8" x14ac:dyDescent="0.25">
      <c r="B79" s="46"/>
      <c r="C79" s="46"/>
      <c r="D79" s="47">
        <f>IF(B79="","",IFERROR(INDEX('03 Personnes'!$D$9:$D$158,MATCH(B79,'03 Personnes'!$B$9:$B$158,0)),"—"))</f>
      </c>
      <c r="E79" s="49"/>
      <c r="F79" s="49"/>
      <c r="G79" s="47">
        <f>IF(B79="","",IF(OR(F79="",F79&gt;=TODAY()),"Oui","Non"))</f>
      </c>
      <c r="H79" s="48">
        <f>IF(B79="","",IF(AND(E79&lt;&gt;"",F79&lt;&gt;"",F79&lt;E79),"⚠ Fin avant début",IF(COUNTIFS($B$9:$B$208,B79,$C$9:$C$208,C79,$E$9:$E$208,E79)&gt;1,"⚠ Doublon","✓")))</f>
      </c>
    </row>
    <row r="80" ht="21" customHeight="1" spans="2:8" x14ac:dyDescent="0.25">
      <c r="B80" s="46"/>
      <c r="C80" s="46"/>
      <c r="D80" s="47">
        <f>IF(B80="","",IFERROR(INDEX('03 Personnes'!$D$9:$D$158,MATCH(B80,'03 Personnes'!$B$9:$B$158,0)),"—"))</f>
      </c>
      <c r="E80" s="49"/>
      <c r="F80" s="49"/>
      <c r="G80" s="47">
        <f>IF(B80="","",IF(OR(F80="",F80&gt;=TODAY()),"Oui","Non"))</f>
      </c>
      <c r="H80" s="48">
        <f>IF(B80="","",IF(AND(E80&lt;&gt;"",F80&lt;&gt;"",F80&lt;E80),"⚠ Fin avant début",IF(COUNTIFS($B$9:$B$208,B80,$C$9:$C$208,C80,$E$9:$E$208,E80)&gt;1,"⚠ Doublon","✓")))</f>
      </c>
    </row>
    <row r="81" ht="21" customHeight="1" spans="2:8" x14ac:dyDescent="0.25">
      <c r="B81" s="46"/>
      <c r="C81" s="46"/>
      <c r="D81" s="47">
        <f>IF(B81="","",IFERROR(INDEX('03 Personnes'!$D$9:$D$158,MATCH(B81,'03 Personnes'!$B$9:$B$158,0)),"—"))</f>
      </c>
      <c r="E81" s="49"/>
      <c r="F81" s="49"/>
      <c r="G81" s="47">
        <f>IF(B81="","",IF(OR(F81="",F81&gt;=TODAY()),"Oui","Non"))</f>
      </c>
      <c r="H81" s="48">
        <f>IF(B81="","",IF(AND(E81&lt;&gt;"",F81&lt;&gt;"",F81&lt;E81),"⚠ Fin avant début",IF(COUNTIFS($B$9:$B$208,B81,$C$9:$C$208,C81,$E$9:$E$208,E81)&gt;1,"⚠ Doublon","✓")))</f>
      </c>
    </row>
    <row r="82" ht="21" customHeight="1" spans="2:8" x14ac:dyDescent="0.25">
      <c r="B82" s="46"/>
      <c r="C82" s="46"/>
      <c r="D82" s="47">
        <f>IF(B82="","",IFERROR(INDEX('03 Personnes'!$D$9:$D$158,MATCH(B82,'03 Personnes'!$B$9:$B$158,0)),"—"))</f>
      </c>
      <c r="E82" s="49"/>
      <c r="F82" s="49"/>
      <c r="G82" s="47">
        <f>IF(B82="","",IF(OR(F82="",F82&gt;=TODAY()),"Oui","Non"))</f>
      </c>
      <c r="H82" s="48">
        <f>IF(B82="","",IF(AND(E82&lt;&gt;"",F82&lt;&gt;"",F82&lt;E82),"⚠ Fin avant début",IF(COUNTIFS($B$9:$B$208,B82,$C$9:$C$208,C82,$E$9:$E$208,E82)&gt;1,"⚠ Doublon","✓")))</f>
      </c>
    </row>
    <row r="83" ht="21" customHeight="1" spans="2:8" x14ac:dyDescent="0.25">
      <c r="B83" s="46"/>
      <c r="C83" s="46"/>
      <c r="D83" s="47">
        <f>IF(B83="","",IFERROR(INDEX('03 Personnes'!$D$9:$D$158,MATCH(B83,'03 Personnes'!$B$9:$B$158,0)),"—"))</f>
      </c>
      <c r="E83" s="49"/>
      <c r="F83" s="49"/>
      <c r="G83" s="47">
        <f>IF(B83="","",IF(OR(F83="",F83&gt;=TODAY()),"Oui","Non"))</f>
      </c>
      <c r="H83" s="48">
        <f>IF(B83="","",IF(AND(E83&lt;&gt;"",F83&lt;&gt;"",F83&lt;E83),"⚠ Fin avant début",IF(COUNTIFS($B$9:$B$208,B83,$C$9:$C$208,C83,$E$9:$E$208,E83)&gt;1,"⚠ Doublon","✓")))</f>
      </c>
    </row>
    <row r="84" ht="21" customHeight="1" spans="2:8" x14ac:dyDescent="0.25">
      <c r="B84" s="46"/>
      <c r="C84" s="46"/>
      <c r="D84" s="47">
        <f>IF(B84="","",IFERROR(INDEX('03 Personnes'!$D$9:$D$158,MATCH(B84,'03 Personnes'!$B$9:$B$158,0)),"—"))</f>
      </c>
      <c r="E84" s="49"/>
      <c r="F84" s="49"/>
      <c r="G84" s="47">
        <f>IF(B84="","",IF(OR(F84="",F84&gt;=TODAY()),"Oui","Non"))</f>
      </c>
      <c r="H84" s="48">
        <f>IF(B84="","",IF(AND(E84&lt;&gt;"",F84&lt;&gt;"",F84&lt;E84),"⚠ Fin avant début",IF(COUNTIFS($B$9:$B$208,B84,$C$9:$C$208,C84,$E$9:$E$208,E84)&gt;1,"⚠ Doublon","✓")))</f>
      </c>
    </row>
    <row r="85" ht="21" customHeight="1" spans="2:8" x14ac:dyDescent="0.25">
      <c r="B85" s="46"/>
      <c r="C85" s="46"/>
      <c r="D85" s="47">
        <f>IF(B85="","",IFERROR(INDEX('03 Personnes'!$D$9:$D$158,MATCH(B85,'03 Personnes'!$B$9:$B$158,0)),"—"))</f>
      </c>
      <c r="E85" s="49"/>
      <c r="F85" s="49"/>
      <c r="G85" s="47">
        <f>IF(B85="","",IF(OR(F85="",F85&gt;=TODAY()),"Oui","Non"))</f>
      </c>
      <c r="H85" s="48">
        <f>IF(B85="","",IF(AND(E85&lt;&gt;"",F85&lt;&gt;"",F85&lt;E85),"⚠ Fin avant début",IF(COUNTIFS($B$9:$B$208,B85,$C$9:$C$208,C85,$E$9:$E$208,E85)&gt;1,"⚠ Doublon","✓")))</f>
      </c>
    </row>
    <row r="86" ht="21" customHeight="1" spans="2:8" x14ac:dyDescent="0.25">
      <c r="B86" s="46"/>
      <c r="C86" s="46"/>
      <c r="D86" s="47">
        <f>IF(B86="","",IFERROR(INDEX('03 Personnes'!$D$9:$D$158,MATCH(B86,'03 Personnes'!$B$9:$B$158,0)),"—"))</f>
      </c>
      <c r="E86" s="49"/>
      <c r="F86" s="49"/>
      <c r="G86" s="47">
        <f>IF(B86="","",IF(OR(F86="",F86&gt;=TODAY()),"Oui","Non"))</f>
      </c>
      <c r="H86" s="48">
        <f>IF(B86="","",IF(AND(E86&lt;&gt;"",F86&lt;&gt;"",F86&lt;E86),"⚠ Fin avant début",IF(COUNTIFS($B$9:$B$208,B86,$C$9:$C$208,C86,$E$9:$E$208,E86)&gt;1,"⚠ Doublon","✓")))</f>
      </c>
    </row>
    <row r="87" ht="21" customHeight="1" spans="2:8" x14ac:dyDescent="0.25">
      <c r="B87" s="46"/>
      <c r="C87" s="46"/>
      <c r="D87" s="47">
        <f>IF(B87="","",IFERROR(INDEX('03 Personnes'!$D$9:$D$158,MATCH(B87,'03 Personnes'!$B$9:$B$158,0)),"—"))</f>
      </c>
      <c r="E87" s="49"/>
      <c r="F87" s="49"/>
      <c r="G87" s="47">
        <f>IF(B87="","",IF(OR(F87="",F87&gt;=TODAY()),"Oui","Non"))</f>
      </c>
      <c r="H87" s="48">
        <f>IF(B87="","",IF(AND(E87&lt;&gt;"",F87&lt;&gt;"",F87&lt;E87),"⚠ Fin avant début",IF(COUNTIFS($B$9:$B$208,B87,$C$9:$C$208,C87,$E$9:$E$208,E87)&gt;1,"⚠ Doublon","✓")))</f>
      </c>
    </row>
    <row r="88" ht="21" customHeight="1" spans="2:8" x14ac:dyDescent="0.25">
      <c r="B88" s="46"/>
      <c r="C88" s="46"/>
      <c r="D88" s="47">
        <f>IF(B88="","",IFERROR(INDEX('03 Personnes'!$D$9:$D$158,MATCH(B88,'03 Personnes'!$B$9:$B$158,0)),"—"))</f>
      </c>
      <c r="E88" s="49"/>
      <c r="F88" s="49"/>
      <c r="G88" s="47">
        <f>IF(B88="","",IF(OR(F88="",F88&gt;=TODAY()),"Oui","Non"))</f>
      </c>
      <c r="H88" s="48">
        <f>IF(B88="","",IF(AND(E88&lt;&gt;"",F88&lt;&gt;"",F88&lt;E88),"⚠ Fin avant début",IF(COUNTIFS($B$9:$B$208,B88,$C$9:$C$208,C88,$E$9:$E$208,E88)&gt;1,"⚠ Doublon","✓")))</f>
      </c>
    </row>
    <row r="89" ht="21" customHeight="1" spans="2:8" x14ac:dyDescent="0.25">
      <c r="B89" s="46"/>
      <c r="C89" s="46"/>
      <c r="D89" s="47">
        <f>IF(B89="","",IFERROR(INDEX('03 Personnes'!$D$9:$D$158,MATCH(B89,'03 Personnes'!$B$9:$B$158,0)),"—"))</f>
      </c>
      <c r="E89" s="49"/>
      <c r="F89" s="49"/>
      <c r="G89" s="47">
        <f>IF(B89="","",IF(OR(F89="",F89&gt;=TODAY()),"Oui","Non"))</f>
      </c>
      <c r="H89" s="48">
        <f>IF(B89="","",IF(AND(E89&lt;&gt;"",F89&lt;&gt;"",F89&lt;E89),"⚠ Fin avant début",IF(COUNTIFS($B$9:$B$208,B89,$C$9:$C$208,C89,$E$9:$E$208,E89)&gt;1,"⚠ Doublon","✓")))</f>
      </c>
    </row>
    <row r="90" ht="21" customHeight="1" spans="2:8" x14ac:dyDescent="0.25">
      <c r="B90" s="46"/>
      <c r="C90" s="46"/>
      <c r="D90" s="47">
        <f>IF(B90="","",IFERROR(INDEX('03 Personnes'!$D$9:$D$158,MATCH(B90,'03 Personnes'!$B$9:$B$158,0)),"—"))</f>
      </c>
      <c r="E90" s="49"/>
      <c r="F90" s="49"/>
      <c r="G90" s="47">
        <f>IF(B90="","",IF(OR(F90="",F90&gt;=TODAY()),"Oui","Non"))</f>
      </c>
      <c r="H90" s="48">
        <f>IF(B90="","",IF(AND(E90&lt;&gt;"",F90&lt;&gt;"",F90&lt;E90),"⚠ Fin avant début",IF(COUNTIFS($B$9:$B$208,B90,$C$9:$C$208,C90,$E$9:$E$208,E90)&gt;1,"⚠ Doublon","✓")))</f>
      </c>
    </row>
    <row r="91" ht="21" customHeight="1" spans="2:8" x14ac:dyDescent="0.25">
      <c r="B91" s="46"/>
      <c r="C91" s="46"/>
      <c r="D91" s="47">
        <f>IF(B91="","",IFERROR(INDEX('03 Personnes'!$D$9:$D$158,MATCH(B91,'03 Personnes'!$B$9:$B$158,0)),"—"))</f>
      </c>
      <c r="E91" s="49"/>
      <c r="F91" s="49"/>
      <c r="G91" s="47">
        <f>IF(B91="","",IF(OR(F91="",F91&gt;=TODAY()),"Oui","Non"))</f>
      </c>
      <c r="H91" s="48">
        <f>IF(B91="","",IF(AND(E91&lt;&gt;"",F91&lt;&gt;"",F91&lt;E91),"⚠ Fin avant début",IF(COUNTIFS($B$9:$B$208,B91,$C$9:$C$208,C91,$E$9:$E$208,E91)&gt;1,"⚠ Doublon","✓")))</f>
      </c>
    </row>
    <row r="92" ht="21" customHeight="1" spans="2:8" x14ac:dyDescent="0.25">
      <c r="B92" s="46"/>
      <c r="C92" s="46"/>
      <c r="D92" s="47">
        <f>IF(B92="","",IFERROR(INDEX('03 Personnes'!$D$9:$D$158,MATCH(B92,'03 Personnes'!$B$9:$B$158,0)),"—"))</f>
      </c>
      <c r="E92" s="49"/>
      <c r="F92" s="49"/>
      <c r="G92" s="47">
        <f>IF(B92="","",IF(OR(F92="",F92&gt;=TODAY()),"Oui","Non"))</f>
      </c>
      <c r="H92" s="48">
        <f>IF(B92="","",IF(AND(E92&lt;&gt;"",F92&lt;&gt;"",F92&lt;E92),"⚠ Fin avant début",IF(COUNTIFS($B$9:$B$208,B92,$C$9:$C$208,C92,$E$9:$E$208,E92)&gt;1,"⚠ Doublon","✓")))</f>
      </c>
    </row>
    <row r="93" ht="21" customHeight="1" spans="2:8" x14ac:dyDescent="0.25">
      <c r="B93" s="46"/>
      <c r="C93" s="46"/>
      <c r="D93" s="47">
        <f>IF(B93="","",IFERROR(INDEX('03 Personnes'!$D$9:$D$158,MATCH(B93,'03 Personnes'!$B$9:$B$158,0)),"—"))</f>
      </c>
      <c r="E93" s="49"/>
      <c r="F93" s="49"/>
      <c r="G93" s="47">
        <f>IF(B93="","",IF(OR(F93="",F93&gt;=TODAY()),"Oui","Non"))</f>
      </c>
      <c r="H93" s="48">
        <f>IF(B93="","",IF(AND(E93&lt;&gt;"",F93&lt;&gt;"",F93&lt;E93),"⚠ Fin avant début",IF(COUNTIFS($B$9:$B$208,B93,$C$9:$C$208,C93,$E$9:$E$208,E93)&gt;1,"⚠ Doublon","✓")))</f>
      </c>
    </row>
    <row r="94" ht="21" customHeight="1" spans="2:8" x14ac:dyDescent="0.25">
      <c r="B94" s="46"/>
      <c r="C94" s="46"/>
      <c r="D94" s="47">
        <f>IF(B94="","",IFERROR(INDEX('03 Personnes'!$D$9:$D$158,MATCH(B94,'03 Personnes'!$B$9:$B$158,0)),"—"))</f>
      </c>
      <c r="E94" s="49"/>
      <c r="F94" s="49"/>
      <c r="G94" s="47">
        <f>IF(B94="","",IF(OR(F94="",F94&gt;=TODAY()),"Oui","Non"))</f>
      </c>
      <c r="H94" s="48">
        <f>IF(B94="","",IF(AND(E94&lt;&gt;"",F94&lt;&gt;"",F94&lt;E94),"⚠ Fin avant début",IF(COUNTIFS($B$9:$B$208,B94,$C$9:$C$208,C94,$E$9:$E$208,E94)&gt;1,"⚠ Doublon","✓")))</f>
      </c>
    </row>
    <row r="95" ht="21" customHeight="1" spans="2:8" x14ac:dyDescent="0.25">
      <c r="B95" s="46"/>
      <c r="C95" s="46"/>
      <c r="D95" s="47">
        <f>IF(B95="","",IFERROR(INDEX('03 Personnes'!$D$9:$D$158,MATCH(B95,'03 Personnes'!$B$9:$B$158,0)),"—"))</f>
      </c>
      <c r="E95" s="49"/>
      <c r="F95" s="49"/>
      <c r="G95" s="47">
        <f>IF(B95="","",IF(OR(F95="",F95&gt;=TODAY()),"Oui","Non"))</f>
      </c>
      <c r="H95" s="48">
        <f>IF(B95="","",IF(AND(E95&lt;&gt;"",F95&lt;&gt;"",F95&lt;E95),"⚠ Fin avant début",IF(COUNTIFS($B$9:$B$208,B95,$C$9:$C$208,C95,$E$9:$E$208,E95)&gt;1,"⚠ Doublon","✓")))</f>
      </c>
    </row>
    <row r="96" ht="21" customHeight="1" spans="2:8" x14ac:dyDescent="0.25">
      <c r="B96" s="46"/>
      <c r="C96" s="46"/>
      <c r="D96" s="47">
        <f>IF(B96="","",IFERROR(INDEX('03 Personnes'!$D$9:$D$158,MATCH(B96,'03 Personnes'!$B$9:$B$158,0)),"—"))</f>
      </c>
      <c r="E96" s="49"/>
      <c r="F96" s="49"/>
      <c r="G96" s="47">
        <f>IF(B96="","",IF(OR(F96="",F96&gt;=TODAY()),"Oui","Non"))</f>
      </c>
      <c r="H96" s="48">
        <f>IF(B96="","",IF(AND(E96&lt;&gt;"",F96&lt;&gt;"",F96&lt;E96),"⚠ Fin avant début",IF(COUNTIFS($B$9:$B$208,B96,$C$9:$C$208,C96,$E$9:$E$208,E96)&gt;1,"⚠ Doublon","✓")))</f>
      </c>
    </row>
    <row r="97" ht="21" customHeight="1" spans="2:8" x14ac:dyDescent="0.25">
      <c r="B97" s="46"/>
      <c r="C97" s="46"/>
      <c r="D97" s="47">
        <f>IF(B97="","",IFERROR(INDEX('03 Personnes'!$D$9:$D$158,MATCH(B97,'03 Personnes'!$B$9:$B$158,0)),"—"))</f>
      </c>
      <c r="E97" s="49"/>
      <c r="F97" s="49"/>
      <c r="G97" s="47">
        <f>IF(B97="","",IF(OR(F97="",F97&gt;=TODAY()),"Oui","Non"))</f>
      </c>
      <c r="H97" s="48">
        <f>IF(B97="","",IF(AND(E97&lt;&gt;"",F97&lt;&gt;"",F97&lt;E97),"⚠ Fin avant début",IF(COUNTIFS($B$9:$B$208,B97,$C$9:$C$208,C97,$E$9:$E$208,E97)&gt;1,"⚠ Doublon","✓")))</f>
      </c>
    </row>
    <row r="98" ht="21" customHeight="1" spans="2:8" x14ac:dyDescent="0.25">
      <c r="B98" s="46"/>
      <c r="C98" s="46"/>
      <c r="D98" s="47">
        <f>IF(B98="","",IFERROR(INDEX('03 Personnes'!$D$9:$D$158,MATCH(B98,'03 Personnes'!$B$9:$B$158,0)),"—"))</f>
      </c>
      <c r="E98" s="49"/>
      <c r="F98" s="49"/>
      <c r="G98" s="47">
        <f>IF(B98="","",IF(OR(F98="",F98&gt;=TODAY()),"Oui","Non"))</f>
      </c>
      <c r="H98" s="48">
        <f>IF(B98="","",IF(AND(E98&lt;&gt;"",F98&lt;&gt;"",F98&lt;E98),"⚠ Fin avant début",IF(COUNTIFS($B$9:$B$208,B98,$C$9:$C$208,C98,$E$9:$E$208,E98)&gt;1,"⚠ Doublon","✓")))</f>
      </c>
    </row>
    <row r="99" ht="21" customHeight="1" spans="2:8" x14ac:dyDescent="0.25">
      <c r="B99" s="46"/>
      <c r="C99" s="46"/>
      <c r="D99" s="47">
        <f>IF(B99="","",IFERROR(INDEX('03 Personnes'!$D$9:$D$158,MATCH(B99,'03 Personnes'!$B$9:$B$158,0)),"—"))</f>
      </c>
      <c r="E99" s="49"/>
      <c r="F99" s="49"/>
      <c r="G99" s="47">
        <f>IF(B99="","",IF(OR(F99="",F99&gt;=TODAY()),"Oui","Non"))</f>
      </c>
      <c r="H99" s="48">
        <f>IF(B99="","",IF(AND(E99&lt;&gt;"",F99&lt;&gt;"",F99&lt;E99),"⚠ Fin avant début",IF(COUNTIFS($B$9:$B$208,B99,$C$9:$C$208,C99,$E$9:$E$208,E99)&gt;1,"⚠ Doublon","✓")))</f>
      </c>
    </row>
    <row r="100" ht="21" customHeight="1" spans="2:8" x14ac:dyDescent="0.25">
      <c r="B100" s="46"/>
      <c r="C100" s="46"/>
      <c r="D100" s="47">
        <f>IF(B100="","",IFERROR(INDEX('03 Personnes'!$D$9:$D$158,MATCH(B100,'03 Personnes'!$B$9:$B$158,0)),"—"))</f>
      </c>
      <c r="E100" s="49"/>
      <c r="F100" s="49"/>
      <c r="G100" s="47">
        <f>IF(B100="","",IF(OR(F100="",F100&gt;=TODAY()),"Oui","Non"))</f>
      </c>
      <c r="H100" s="48">
        <f>IF(B100="","",IF(AND(E100&lt;&gt;"",F100&lt;&gt;"",F100&lt;E100),"⚠ Fin avant début",IF(COUNTIFS($B$9:$B$208,B100,$C$9:$C$208,C100,$E$9:$E$208,E100)&gt;1,"⚠ Doublon","✓")))</f>
      </c>
    </row>
    <row r="101" ht="21" customHeight="1" spans="2:8" x14ac:dyDescent="0.25">
      <c r="B101" s="46"/>
      <c r="C101" s="46"/>
      <c r="D101" s="47">
        <f>IF(B101="","",IFERROR(INDEX('03 Personnes'!$D$9:$D$158,MATCH(B101,'03 Personnes'!$B$9:$B$158,0)),"—"))</f>
      </c>
      <c r="E101" s="49"/>
      <c r="F101" s="49"/>
      <c r="G101" s="47">
        <f>IF(B101="","",IF(OR(F101="",F101&gt;=TODAY()),"Oui","Non"))</f>
      </c>
      <c r="H101" s="48">
        <f>IF(B101="","",IF(AND(E101&lt;&gt;"",F101&lt;&gt;"",F101&lt;E101),"⚠ Fin avant début",IF(COUNTIFS($B$9:$B$208,B101,$C$9:$C$208,C101,$E$9:$E$208,E101)&gt;1,"⚠ Doublon","✓")))</f>
      </c>
    </row>
    <row r="102" ht="21" customHeight="1" spans="2:8" x14ac:dyDescent="0.25">
      <c r="B102" s="46"/>
      <c r="C102" s="46"/>
      <c r="D102" s="47">
        <f>IF(B102="","",IFERROR(INDEX('03 Personnes'!$D$9:$D$158,MATCH(B102,'03 Personnes'!$B$9:$B$158,0)),"—"))</f>
      </c>
      <c r="E102" s="49"/>
      <c r="F102" s="49"/>
      <c r="G102" s="47">
        <f>IF(B102="","",IF(OR(F102="",F102&gt;=TODAY()),"Oui","Non"))</f>
      </c>
      <c r="H102" s="48">
        <f>IF(B102="","",IF(AND(E102&lt;&gt;"",F102&lt;&gt;"",F102&lt;E102),"⚠ Fin avant début",IF(COUNTIFS($B$9:$B$208,B102,$C$9:$C$208,C102,$E$9:$E$208,E102)&gt;1,"⚠ Doublon","✓")))</f>
      </c>
    </row>
    <row r="103" ht="21" customHeight="1" spans="2:8" x14ac:dyDescent="0.25">
      <c r="B103" s="46"/>
      <c r="C103" s="46"/>
      <c r="D103" s="47">
        <f>IF(B103="","",IFERROR(INDEX('03 Personnes'!$D$9:$D$158,MATCH(B103,'03 Personnes'!$B$9:$B$158,0)),"—"))</f>
      </c>
      <c r="E103" s="49"/>
      <c r="F103" s="49"/>
      <c r="G103" s="47">
        <f>IF(B103="","",IF(OR(F103="",F103&gt;=TODAY()),"Oui","Non"))</f>
      </c>
      <c r="H103" s="48">
        <f>IF(B103="","",IF(AND(E103&lt;&gt;"",F103&lt;&gt;"",F103&lt;E103),"⚠ Fin avant début",IF(COUNTIFS($B$9:$B$208,B103,$C$9:$C$208,C103,$E$9:$E$208,E103)&gt;1,"⚠ Doublon","✓")))</f>
      </c>
    </row>
    <row r="104" ht="21" customHeight="1" spans="2:8" x14ac:dyDescent="0.25">
      <c r="B104" s="46"/>
      <c r="C104" s="46"/>
      <c r="D104" s="47">
        <f>IF(B104="","",IFERROR(INDEX('03 Personnes'!$D$9:$D$158,MATCH(B104,'03 Personnes'!$B$9:$B$158,0)),"—"))</f>
      </c>
      <c r="E104" s="49"/>
      <c r="F104" s="49"/>
      <c r="G104" s="47">
        <f>IF(B104="","",IF(OR(F104="",F104&gt;=TODAY()),"Oui","Non"))</f>
      </c>
      <c r="H104" s="48">
        <f>IF(B104="","",IF(AND(E104&lt;&gt;"",F104&lt;&gt;"",F104&lt;E104),"⚠ Fin avant début",IF(COUNTIFS($B$9:$B$208,B104,$C$9:$C$208,C104,$E$9:$E$208,E104)&gt;1,"⚠ Doublon","✓")))</f>
      </c>
    </row>
    <row r="105" ht="21" customHeight="1" spans="2:8" x14ac:dyDescent="0.25">
      <c r="B105" s="46"/>
      <c r="C105" s="46"/>
      <c r="D105" s="47">
        <f>IF(B105="","",IFERROR(INDEX('03 Personnes'!$D$9:$D$158,MATCH(B105,'03 Personnes'!$B$9:$B$158,0)),"—"))</f>
      </c>
      <c r="E105" s="49"/>
      <c r="F105" s="49"/>
      <c r="G105" s="47">
        <f>IF(B105="","",IF(OR(F105="",F105&gt;=TODAY()),"Oui","Non"))</f>
      </c>
      <c r="H105" s="48">
        <f>IF(B105="","",IF(AND(E105&lt;&gt;"",F105&lt;&gt;"",F105&lt;E105),"⚠ Fin avant début",IF(COUNTIFS($B$9:$B$208,B105,$C$9:$C$208,C105,$E$9:$E$208,E105)&gt;1,"⚠ Doublon","✓")))</f>
      </c>
    </row>
    <row r="106" ht="21" customHeight="1" spans="2:8" x14ac:dyDescent="0.25">
      <c r="B106" s="46"/>
      <c r="C106" s="46"/>
      <c r="D106" s="47">
        <f>IF(B106="","",IFERROR(INDEX('03 Personnes'!$D$9:$D$158,MATCH(B106,'03 Personnes'!$B$9:$B$158,0)),"—"))</f>
      </c>
      <c r="E106" s="49"/>
      <c r="F106" s="49"/>
      <c r="G106" s="47">
        <f>IF(B106="","",IF(OR(F106="",F106&gt;=TODAY()),"Oui","Non"))</f>
      </c>
      <c r="H106" s="48">
        <f>IF(B106="","",IF(AND(E106&lt;&gt;"",F106&lt;&gt;"",F106&lt;E106),"⚠ Fin avant début",IF(COUNTIFS($B$9:$B$208,B106,$C$9:$C$208,C106,$E$9:$E$208,E106)&gt;1,"⚠ Doublon","✓")))</f>
      </c>
    </row>
    <row r="107" ht="21" customHeight="1" spans="2:8" x14ac:dyDescent="0.25">
      <c r="B107" s="46"/>
      <c r="C107" s="46"/>
      <c r="D107" s="47">
        <f>IF(B107="","",IFERROR(INDEX('03 Personnes'!$D$9:$D$158,MATCH(B107,'03 Personnes'!$B$9:$B$158,0)),"—"))</f>
      </c>
      <c r="E107" s="49"/>
      <c r="F107" s="49"/>
      <c r="G107" s="47">
        <f>IF(B107="","",IF(OR(F107="",F107&gt;=TODAY()),"Oui","Non"))</f>
      </c>
      <c r="H107" s="48">
        <f>IF(B107="","",IF(AND(E107&lt;&gt;"",F107&lt;&gt;"",F107&lt;E107),"⚠ Fin avant début",IF(COUNTIFS($B$9:$B$208,B107,$C$9:$C$208,C107,$E$9:$E$208,E107)&gt;1,"⚠ Doublon","✓")))</f>
      </c>
    </row>
    <row r="108" ht="21" customHeight="1" spans="2:8" x14ac:dyDescent="0.25">
      <c r="B108" s="46"/>
      <c r="C108" s="46"/>
      <c r="D108" s="47">
        <f>IF(B108="","",IFERROR(INDEX('03 Personnes'!$D$9:$D$158,MATCH(B108,'03 Personnes'!$B$9:$B$158,0)),"—"))</f>
      </c>
      <c r="E108" s="49"/>
      <c r="F108" s="49"/>
      <c r="G108" s="47">
        <f>IF(B108="","",IF(OR(F108="",F108&gt;=TODAY()),"Oui","Non"))</f>
      </c>
      <c r="H108" s="48">
        <f>IF(B108="","",IF(AND(E108&lt;&gt;"",F108&lt;&gt;"",F108&lt;E108),"⚠ Fin avant début",IF(COUNTIFS($B$9:$B$208,B108,$C$9:$C$208,C108,$E$9:$E$208,E108)&gt;1,"⚠ Doublon","✓")))</f>
      </c>
    </row>
    <row r="109" ht="21" customHeight="1" spans="2:8" x14ac:dyDescent="0.25">
      <c r="B109" s="46"/>
      <c r="C109" s="46"/>
      <c r="D109" s="47">
        <f>IF(B109="","",IFERROR(INDEX('03 Personnes'!$D$9:$D$158,MATCH(B109,'03 Personnes'!$B$9:$B$158,0)),"—"))</f>
      </c>
      <c r="E109" s="49"/>
      <c r="F109" s="49"/>
      <c r="G109" s="47">
        <f>IF(B109="","",IF(OR(F109="",F109&gt;=TODAY()),"Oui","Non"))</f>
      </c>
      <c r="H109" s="48">
        <f>IF(B109="","",IF(AND(E109&lt;&gt;"",F109&lt;&gt;"",F109&lt;E109),"⚠ Fin avant début",IF(COUNTIFS($B$9:$B$208,B109,$C$9:$C$208,C109,$E$9:$E$208,E109)&gt;1,"⚠ Doublon","✓")))</f>
      </c>
    </row>
    <row r="110" ht="21" customHeight="1" spans="2:8" x14ac:dyDescent="0.25">
      <c r="B110" s="46"/>
      <c r="C110" s="46"/>
      <c r="D110" s="47">
        <f>IF(B110="","",IFERROR(INDEX('03 Personnes'!$D$9:$D$158,MATCH(B110,'03 Personnes'!$B$9:$B$158,0)),"—"))</f>
      </c>
      <c r="E110" s="49"/>
      <c r="F110" s="49"/>
      <c r="G110" s="47">
        <f>IF(B110="","",IF(OR(F110="",F110&gt;=TODAY()),"Oui","Non"))</f>
      </c>
      <c r="H110" s="48">
        <f>IF(B110="","",IF(AND(E110&lt;&gt;"",F110&lt;&gt;"",F110&lt;E110),"⚠ Fin avant début",IF(COUNTIFS($B$9:$B$208,B110,$C$9:$C$208,C110,$E$9:$E$208,E110)&gt;1,"⚠ Doublon","✓")))</f>
      </c>
    </row>
    <row r="111" ht="21" customHeight="1" spans="2:8" x14ac:dyDescent="0.25">
      <c r="B111" s="46"/>
      <c r="C111" s="46"/>
      <c r="D111" s="47">
        <f>IF(B111="","",IFERROR(INDEX('03 Personnes'!$D$9:$D$158,MATCH(B111,'03 Personnes'!$B$9:$B$158,0)),"—"))</f>
      </c>
      <c r="E111" s="49"/>
      <c r="F111" s="49"/>
      <c r="G111" s="47">
        <f>IF(B111="","",IF(OR(F111="",F111&gt;=TODAY()),"Oui","Non"))</f>
      </c>
      <c r="H111" s="48">
        <f>IF(B111="","",IF(AND(E111&lt;&gt;"",F111&lt;&gt;"",F111&lt;E111),"⚠ Fin avant début",IF(COUNTIFS($B$9:$B$208,B111,$C$9:$C$208,C111,$E$9:$E$208,E111)&gt;1,"⚠ Doublon","✓")))</f>
      </c>
    </row>
    <row r="112" ht="21" customHeight="1" spans="2:8" x14ac:dyDescent="0.25">
      <c r="B112" s="46"/>
      <c r="C112" s="46"/>
      <c r="D112" s="47">
        <f>IF(B112="","",IFERROR(INDEX('03 Personnes'!$D$9:$D$158,MATCH(B112,'03 Personnes'!$B$9:$B$158,0)),"—"))</f>
      </c>
      <c r="E112" s="49"/>
      <c r="F112" s="49"/>
      <c r="G112" s="47">
        <f>IF(B112="","",IF(OR(F112="",F112&gt;=TODAY()),"Oui","Non"))</f>
      </c>
      <c r="H112" s="48">
        <f>IF(B112="","",IF(AND(E112&lt;&gt;"",F112&lt;&gt;"",F112&lt;E112),"⚠ Fin avant début",IF(COUNTIFS($B$9:$B$208,B112,$C$9:$C$208,C112,$E$9:$E$208,E112)&gt;1,"⚠ Doublon","✓")))</f>
      </c>
    </row>
    <row r="113" ht="21" customHeight="1" spans="2:8" x14ac:dyDescent="0.25">
      <c r="B113" s="46"/>
      <c r="C113" s="46"/>
      <c r="D113" s="47">
        <f>IF(B113="","",IFERROR(INDEX('03 Personnes'!$D$9:$D$158,MATCH(B113,'03 Personnes'!$B$9:$B$158,0)),"—"))</f>
      </c>
      <c r="E113" s="49"/>
      <c r="F113" s="49"/>
      <c r="G113" s="47">
        <f>IF(B113="","",IF(OR(F113="",F113&gt;=TODAY()),"Oui","Non"))</f>
      </c>
      <c r="H113" s="48">
        <f>IF(B113="","",IF(AND(E113&lt;&gt;"",F113&lt;&gt;"",F113&lt;E113),"⚠ Fin avant début",IF(COUNTIFS($B$9:$B$208,B113,$C$9:$C$208,C113,$E$9:$E$208,E113)&gt;1,"⚠ Doublon","✓")))</f>
      </c>
    </row>
    <row r="114" ht="21" customHeight="1" spans="2:8" x14ac:dyDescent="0.25">
      <c r="B114" s="46"/>
      <c r="C114" s="46"/>
      <c r="D114" s="47">
        <f>IF(B114="","",IFERROR(INDEX('03 Personnes'!$D$9:$D$158,MATCH(B114,'03 Personnes'!$B$9:$B$158,0)),"—"))</f>
      </c>
      <c r="E114" s="49"/>
      <c r="F114" s="49"/>
      <c r="G114" s="47">
        <f>IF(B114="","",IF(OR(F114="",F114&gt;=TODAY()),"Oui","Non"))</f>
      </c>
      <c r="H114" s="48">
        <f>IF(B114="","",IF(AND(E114&lt;&gt;"",F114&lt;&gt;"",F114&lt;E114),"⚠ Fin avant début",IF(COUNTIFS($B$9:$B$208,B114,$C$9:$C$208,C114,$E$9:$E$208,E114)&gt;1,"⚠ Doublon","✓")))</f>
      </c>
    </row>
    <row r="115" ht="21" customHeight="1" spans="2:8" x14ac:dyDescent="0.25">
      <c r="B115" s="46"/>
      <c r="C115" s="46"/>
      <c r="D115" s="47">
        <f>IF(B115="","",IFERROR(INDEX('03 Personnes'!$D$9:$D$158,MATCH(B115,'03 Personnes'!$B$9:$B$158,0)),"—"))</f>
      </c>
      <c r="E115" s="49"/>
      <c r="F115" s="49"/>
      <c r="G115" s="47">
        <f>IF(B115="","",IF(OR(F115="",F115&gt;=TODAY()),"Oui","Non"))</f>
      </c>
      <c r="H115" s="48">
        <f>IF(B115="","",IF(AND(E115&lt;&gt;"",F115&lt;&gt;"",F115&lt;E115),"⚠ Fin avant début",IF(COUNTIFS($B$9:$B$208,B115,$C$9:$C$208,C115,$E$9:$E$208,E115)&gt;1,"⚠ Doublon","✓")))</f>
      </c>
    </row>
    <row r="116" ht="21" customHeight="1" spans="2:8" x14ac:dyDescent="0.25">
      <c r="B116" s="46"/>
      <c r="C116" s="46"/>
      <c r="D116" s="47">
        <f>IF(B116="","",IFERROR(INDEX('03 Personnes'!$D$9:$D$158,MATCH(B116,'03 Personnes'!$B$9:$B$158,0)),"—"))</f>
      </c>
      <c r="E116" s="49"/>
      <c r="F116" s="49"/>
      <c r="G116" s="47">
        <f>IF(B116="","",IF(OR(F116="",F116&gt;=TODAY()),"Oui","Non"))</f>
      </c>
      <c r="H116" s="48">
        <f>IF(B116="","",IF(AND(E116&lt;&gt;"",F116&lt;&gt;"",F116&lt;E116),"⚠ Fin avant début",IF(COUNTIFS($B$9:$B$208,B116,$C$9:$C$208,C116,$E$9:$E$208,E116)&gt;1,"⚠ Doublon","✓")))</f>
      </c>
    </row>
    <row r="117" ht="21" customHeight="1" spans="2:8" x14ac:dyDescent="0.25">
      <c r="B117" s="46"/>
      <c r="C117" s="46"/>
      <c r="D117" s="47">
        <f>IF(B117="","",IFERROR(INDEX('03 Personnes'!$D$9:$D$158,MATCH(B117,'03 Personnes'!$B$9:$B$158,0)),"—"))</f>
      </c>
      <c r="E117" s="49"/>
      <c r="F117" s="49"/>
      <c r="G117" s="47">
        <f>IF(B117="","",IF(OR(F117="",F117&gt;=TODAY()),"Oui","Non"))</f>
      </c>
      <c r="H117" s="48">
        <f>IF(B117="","",IF(AND(E117&lt;&gt;"",F117&lt;&gt;"",F117&lt;E117),"⚠ Fin avant début",IF(COUNTIFS($B$9:$B$208,B117,$C$9:$C$208,C117,$E$9:$E$208,E117)&gt;1,"⚠ Doublon","✓")))</f>
      </c>
    </row>
    <row r="118" ht="21" customHeight="1" spans="2:8" x14ac:dyDescent="0.25">
      <c r="B118" s="46"/>
      <c r="C118" s="46"/>
      <c r="D118" s="47">
        <f>IF(B118="","",IFERROR(INDEX('03 Personnes'!$D$9:$D$158,MATCH(B118,'03 Personnes'!$B$9:$B$158,0)),"—"))</f>
      </c>
      <c r="E118" s="49"/>
      <c r="F118" s="49"/>
      <c r="G118" s="47">
        <f>IF(B118="","",IF(OR(F118="",F118&gt;=TODAY()),"Oui","Non"))</f>
      </c>
      <c r="H118" s="48">
        <f>IF(B118="","",IF(AND(E118&lt;&gt;"",F118&lt;&gt;"",F118&lt;E118),"⚠ Fin avant début",IF(COUNTIFS($B$9:$B$208,B118,$C$9:$C$208,C118,$E$9:$E$208,E118)&gt;1,"⚠ Doublon","✓")))</f>
      </c>
    </row>
    <row r="119" ht="21" customHeight="1" spans="2:8" x14ac:dyDescent="0.25">
      <c r="B119" s="46"/>
      <c r="C119" s="46"/>
      <c r="D119" s="47">
        <f>IF(B119="","",IFERROR(INDEX('03 Personnes'!$D$9:$D$158,MATCH(B119,'03 Personnes'!$B$9:$B$158,0)),"—"))</f>
      </c>
      <c r="E119" s="49"/>
      <c r="F119" s="49"/>
      <c r="G119" s="47">
        <f>IF(B119="","",IF(OR(F119="",F119&gt;=TODAY()),"Oui","Non"))</f>
      </c>
      <c r="H119" s="48">
        <f>IF(B119="","",IF(AND(E119&lt;&gt;"",F119&lt;&gt;"",F119&lt;E119),"⚠ Fin avant début",IF(COUNTIFS($B$9:$B$208,B119,$C$9:$C$208,C119,$E$9:$E$208,E119)&gt;1,"⚠ Doublon","✓")))</f>
      </c>
    </row>
    <row r="120" ht="21" customHeight="1" spans="2:8" x14ac:dyDescent="0.25">
      <c r="B120" s="46"/>
      <c r="C120" s="46"/>
      <c r="D120" s="47">
        <f>IF(B120="","",IFERROR(INDEX('03 Personnes'!$D$9:$D$158,MATCH(B120,'03 Personnes'!$B$9:$B$158,0)),"—"))</f>
      </c>
      <c r="E120" s="49"/>
      <c r="F120" s="49"/>
      <c r="G120" s="47">
        <f>IF(B120="","",IF(OR(F120="",F120&gt;=TODAY()),"Oui","Non"))</f>
      </c>
      <c r="H120" s="48">
        <f>IF(B120="","",IF(AND(E120&lt;&gt;"",F120&lt;&gt;"",F120&lt;E120),"⚠ Fin avant début",IF(COUNTIFS($B$9:$B$208,B120,$C$9:$C$208,C120,$E$9:$E$208,E120)&gt;1,"⚠ Doublon","✓")))</f>
      </c>
    </row>
    <row r="121" ht="21" customHeight="1" spans="2:8" x14ac:dyDescent="0.25">
      <c r="B121" s="46"/>
      <c r="C121" s="46"/>
      <c r="D121" s="47">
        <f>IF(B121="","",IFERROR(INDEX('03 Personnes'!$D$9:$D$158,MATCH(B121,'03 Personnes'!$B$9:$B$158,0)),"—"))</f>
      </c>
      <c r="E121" s="49"/>
      <c r="F121" s="49"/>
      <c r="G121" s="47">
        <f>IF(B121="","",IF(OR(F121="",F121&gt;=TODAY()),"Oui","Non"))</f>
      </c>
      <c r="H121" s="48">
        <f>IF(B121="","",IF(AND(E121&lt;&gt;"",F121&lt;&gt;"",F121&lt;E121),"⚠ Fin avant début",IF(COUNTIFS($B$9:$B$208,B121,$C$9:$C$208,C121,$E$9:$E$208,E121)&gt;1,"⚠ Doublon","✓")))</f>
      </c>
    </row>
    <row r="122" ht="21" customHeight="1" spans="2:8" x14ac:dyDescent="0.25">
      <c r="B122" s="46"/>
      <c r="C122" s="46"/>
      <c r="D122" s="47">
        <f>IF(B122="","",IFERROR(INDEX('03 Personnes'!$D$9:$D$158,MATCH(B122,'03 Personnes'!$B$9:$B$158,0)),"—"))</f>
      </c>
      <c r="E122" s="49"/>
      <c r="F122" s="49"/>
      <c r="G122" s="47">
        <f>IF(B122="","",IF(OR(F122="",F122&gt;=TODAY()),"Oui","Non"))</f>
      </c>
      <c r="H122" s="48">
        <f>IF(B122="","",IF(AND(E122&lt;&gt;"",F122&lt;&gt;"",F122&lt;E122),"⚠ Fin avant début",IF(COUNTIFS($B$9:$B$208,B122,$C$9:$C$208,C122,$E$9:$E$208,E122)&gt;1,"⚠ Doublon","✓")))</f>
      </c>
    </row>
    <row r="123" ht="21" customHeight="1" spans="2:8" x14ac:dyDescent="0.25">
      <c r="B123" s="46"/>
      <c r="C123" s="46"/>
      <c r="D123" s="47">
        <f>IF(B123="","",IFERROR(INDEX('03 Personnes'!$D$9:$D$158,MATCH(B123,'03 Personnes'!$B$9:$B$158,0)),"—"))</f>
      </c>
      <c r="E123" s="49"/>
      <c r="F123" s="49"/>
      <c r="G123" s="47">
        <f>IF(B123="","",IF(OR(F123="",F123&gt;=TODAY()),"Oui","Non"))</f>
      </c>
      <c r="H123" s="48">
        <f>IF(B123="","",IF(AND(E123&lt;&gt;"",F123&lt;&gt;"",F123&lt;E123),"⚠ Fin avant début",IF(COUNTIFS($B$9:$B$208,B123,$C$9:$C$208,C123,$E$9:$E$208,E123)&gt;1,"⚠ Doublon","✓")))</f>
      </c>
    </row>
    <row r="124" ht="21" customHeight="1" spans="2:8" x14ac:dyDescent="0.25">
      <c r="B124" s="46"/>
      <c r="C124" s="46"/>
      <c r="D124" s="47">
        <f>IF(B124="","",IFERROR(INDEX('03 Personnes'!$D$9:$D$158,MATCH(B124,'03 Personnes'!$B$9:$B$158,0)),"—"))</f>
      </c>
      <c r="E124" s="49"/>
      <c r="F124" s="49"/>
      <c r="G124" s="47">
        <f>IF(B124="","",IF(OR(F124="",F124&gt;=TODAY()),"Oui","Non"))</f>
      </c>
      <c r="H124" s="48">
        <f>IF(B124="","",IF(AND(E124&lt;&gt;"",F124&lt;&gt;"",F124&lt;E124),"⚠ Fin avant début",IF(COUNTIFS($B$9:$B$208,B124,$C$9:$C$208,C124,$E$9:$E$208,E124)&gt;1,"⚠ Doublon","✓")))</f>
      </c>
    </row>
    <row r="125" ht="21" customHeight="1" spans="2:8" x14ac:dyDescent="0.25">
      <c r="B125" s="46"/>
      <c r="C125" s="46"/>
      <c r="D125" s="47">
        <f>IF(B125="","",IFERROR(INDEX('03 Personnes'!$D$9:$D$158,MATCH(B125,'03 Personnes'!$B$9:$B$158,0)),"—"))</f>
      </c>
      <c r="E125" s="49"/>
      <c r="F125" s="49"/>
      <c r="G125" s="47">
        <f>IF(B125="","",IF(OR(F125="",F125&gt;=TODAY()),"Oui","Non"))</f>
      </c>
      <c r="H125" s="48">
        <f>IF(B125="","",IF(AND(E125&lt;&gt;"",F125&lt;&gt;"",F125&lt;E125),"⚠ Fin avant début",IF(COUNTIFS($B$9:$B$208,B125,$C$9:$C$208,C125,$E$9:$E$208,E125)&gt;1,"⚠ Doublon","✓")))</f>
      </c>
    </row>
    <row r="126" ht="21" customHeight="1" spans="2:8" x14ac:dyDescent="0.25">
      <c r="B126" s="46"/>
      <c r="C126" s="46"/>
      <c r="D126" s="47">
        <f>IF(B126="","",IFERROR(INDEX('03 Personnes'!$D$9:$D$158,MATCH(B126,'03 Personnes'!$B$9:$B$158,0)),"—"))</f>
      </c>
      <c r="E126" s="49"/>
      <c r="F126" s="49"/>
      <c r="G126" s="47">
        <f>IF(B126="","",IF(OR(F126="",F126&gt;=TODAY()),"Oui","Non"))</f>
      </c>
      <c r="H126" s="48">
        <f>IF(B126="","",IF(AND(E126&lt;&gt;"",F126&lt;&gt;"",F126&lt;E126),"⚠ Fin avant début",IF(COUNTIFS($B$9:$B$208,B126,$C$9:$C$208,C126,$E$9:$E$208,E126)&gt;1,"⚠ Doublon","✓")))</f>
      </c>
    </row>
    <row r="127" ht="21" customHeight="1" spans="2:8" x14ac:dyDescent="0.25">
      <c r="B127" s="46"/>
      <c r="C127" s="46"/>
      <c r="D127" s="47">
        <f>IF(B127="","",IFERROR(INDEX('03 Personnes'!$D$9:$D$158,MATCH(B127,'03 Personnes'!$B$9:$B$158,0)),"—"))</f>
      </c>
      <c r="E127" s="49"/>
      <c r="F127" s="49"/>
      <c r="G127" s="47">
        <f>IF(B127="","",IF(OR(F127="",F127&gt;=TODAY()),"Oui","Non"))</f>
      </c>
      <c r="H127" s="48">
        <f>IF(B127="","",IF(AND(E127&lt;&gt;"",F127&lt;&gt;"",F127&lt;E127),"⚠ Fin avant début",IF(COUNTIFS($B$9:$B$208,B127,$C$9:$C$208,C127,$E$9:$E$208,E127)&gt;1,"⚠ Doublon","✓")))</f>
      </c>
    </row>
    <row r="128" ht="21" customHeight="1" spans="2:8" x14ac:dyDescent="0.25">
      <c r="B128" s="46"/>
      <c r="C128" s="46"/>
      <c r="D128" s="47">
        <f>IF(B128="","",IFERROR(INDEX('03 Personnes'!$D$9:$D$158,MATCH(B128,'03 Personnes'!$B$9:$B$158,0)),"—"))</f>
      </c>
      <c r="E128" s="49"/>
      <c r="F128" s="49"/>
      <c r="G128" s="47">
        <f>IF(B128="","",IF(OR(F128="",F128&gt;=TODAY()),"Oui","Non"))</f>
      </c>
      <c r="H128" s="48">
        <f>IF(B128="","",IF(AND(E128&lt;&gt;"",F128&lt;&gt;"",F128&lt;E128),"⚠ Fin avant début",IF(COUNTIFS($B$9:$B$208,B128,$C$9:$C$208,C128,$E$9:$E$208,E128)&gt;1,"⚠ Doublon","✓")))</f>
      </c>
    </row>
    <row r="129" ht="21" customHeight="1" spans="2:8" x14ac:dyDescent="0.25">
      <c r="B129" s="46"/>
      <c r="C129" s="46"/>
      <c r="D129" s="47">
        <f>IF(B129="","",IFERROR(INDEX('03 Personnes'!$D$9:$D$158,MATCH(B129,'03 Personnes'!$B$9:$B$158,0)),"—"))</f>
      </c>
      <c r="E129" s="49"/>
      <c r="F129" s="49"/>
      <c r="G129" s="47">
        <f>IF(B129="","",IF(OR(F129="",F129&gt;=TODAY()),"Oui","Non"))</f>
      </c>
      <c r="H129" s="48">
        <f>IF(B129="","",IF(AND(E129&lt;&gt;"",F129&lt;&gt;"",F129&lt;E129),"⚠ Fin avant début",IF(COUNTIFS($B$9:$B$208,B129,$C$9:$C$208,C129,$E$9:$E$208,E129)&gt;1,"⚠ Doublon","✓")))</f>
      </c>
    </row>
    <row r="130" ht="21" customHeight="1" spans="2:8" x14ac:dyDescent="0.25">
      <c r="B130" s="46"/>
      <c r="C130" s="46"/>
      <c r="D130" s="47">
        <f>IF(B130="","",IFERROR(INDEX('03 Personnes'!$D$9:$D$158,MATCH(B130,'03 Personnes'!$B$9:$B$158,0)),"—"))</f>
      </c>
      <c r="E130" s="49"/>
      <c r="F130" s="49"/>
      <c r="G130" s="47">
        <f>IF(B130="","",IF(OR(F130="",F130&gt;=TODAY()),"Oui","Non"))</f>
      </c>
      <c r="H130" s="48">
        <f>IF(B130="","",IF(AND(E130&lt;&gt;"",F130&lt;&gt;"",F130&lt;E130),"⚠ Fin avant début",IF(COUNTIFS($B$9:$B$208,B130,$C$9:$C$208,C130,$E$9:$E$208,E130)&gt;1,"⚠ Doublon","✓")))</f>
      </c>
    </row>
    <row r="131" ht="21" customHeight="1" spans="2:8" x14ac:dyDescent="0.25">
      <c r="B131" s="46"/>
      <c r="C131" s="46"/>
      <c r="D131" s="47">
        <f>IF(B131="","",IFERROR(INDEX('03 Personnes'!$D$9:$D$158,MATCH(B131,'03 Personnes'!$B$9:$B$158,0)),"—"))</f>
      </c>
      <c r="E131" s="49"/>
      <c r="F131" s="49"/>
      <c r="G131" s="47">
        <f>IF(B131="","",IF(OR(F131="",F131&gt;=TODAY()),"Oui","Non"))</f>
      </c>
      <c r="H131" s="48">
        <f>IF(B131="","",IF(AND(E131&lt;&gt;"",F131&lt;&gt;"",F131&lt;E131),"⚠ Fin avant début",IF(COUNTIFS($B$9:$B$208,B131,$C$9:$C$208,C131,$E$9:$E$208,E131)&gt;1,"⚠ Doublon","✓")))</f>
      </c>
    </row>
    <row r="132" ht="21" customHeight="1" spans="2:8" x14ac:dyDescent="0.25">
      <c r="B132" s="46"/>
      <c r="C132" s="46"/>
      <c r="D132" s="47">
        <f>IF(B132="","",IFERROR(INDEX('03 Personnes'!$D$9:$D$158,MATCH(B132,'03 Personnes'!$B$9:$B$158,0)),"—"))</f>
      </c>
      <c r="E132" s="49"/>
      <c r="F132" s="49"/>
      <c r="G132" s="47">
        <f>IF(B132="","",IF(OR(F132="",F132&gt;=TODAY()),"Oui","Non"))</f>
      </c>
      <c r="H132" s="48">
        <f>IF(B132="","",IF(AND(E132&lt;&gt;"",F132&lt;&gt;"",F132&lt;E132),"⚠ Fin avant début",IF(COUNTIFS($B$9:$B$208,B132,$C$9:$C$208,C132,$E$9:$E$208,E132)&gt;1,"⚠ Doublon","✓")))</f>
      </c>
    </row>
    <row r="133" ht="21" customHeight="1" spans="2:8" x14ac:dyDescent="0.25">
      <c r="B133" s="46"/>
      <c r="C133" s="46"/>
      <c r="D133" s="47">
        <f>IF(B133="","",IFERROR(INDEX('03 Personnes'!$D$9:$D$158,MATCH(B133,'03 Personnes'!$B$9:$B$158,0)),"—"))</f>
      </c>
      <c r="E133" s="49"/>
      <c r="F133" s="49"/>
      <c r="G133" s="47">
        <f>IF(B133="","",IF(OR(F133="",F133&gt;=TODAY()),"Oui","Non"))</f>
      </c>
      <c r="H133" s="48">
        <f>IF(B133="","",IF(AND(E133&lt;&gt;"",F133&lt;&gt;"",F133&lt;E133),"⚠ Fin avant début",IF(COUNTIFS($B$9:$B$208,B133,$C$9:$C$208,C133,$E$9:$E$208,E133)&gt;1,"⚠ Doublon","✓")))</f>
      </c>
    </row>
    <row r="134" ht="21" customHeight="1" spans="2:8" x14ac:dyDescent="0.25">
      <c r="B134" s="46"/>
      <c r="C134" s="46"/>
      <c r="D134" s="47">
        <f>IF(B134="","",IFERROR(INDEX('03 Personnes'!$D$9:$D$158,MATCH(B134,'03 Personnes'!$B$9:$B$158,0)),"—"))</f>
      </c>
      <c r="E134" s="49"/>
      <c r="F134" s="49"/>
      <c r="G134" s="47">
        <f>IF(B134="","",IF(OR(F134="",F134&gt;=TODAY()),"Oui","Non"))</f>
      </c>
      <c r="H134" s="48">
        <f>IF(B134="","",IF(AND(E134&lt;&gt;"",F134&lt;&gt;"",F134&lt;E134),"⚠ Fin avant début",IF(COUNTIFS($B$9:$B$208,B134,$C$9:$C$208,C134,$E$9:$E$208,E134)&gt;1,"⚠ Doublon","✓")))</f>
      </c>
    </row>
    <row r="135" ht="21" customHeight="1" spans="2:8" x14ac:dyDescent="0.25">
      <c r="B135" s="46"/>
      <c r="C135" s="46"/>
      <c r="D135" s="47">
        <f>IF(B135="","",IFERROR(INDEX('03 Personnes'!$D$9:$D$158,MATCH(B135,'03 Personnes'!$B$9:$B$158,0)),"—"))</f>
      </c>
      <c r="E135" s="49"/>
      <c r="F135" s="49"/>
      <c r="G135" s="47">
        <f>IF(B135="","",IF(OR(F135="",F135&gt;=TODAY()),"Oui","Non"))</f>
      </c>
      <c r="H135" s="48">
        <f>IF(B135="","",IF(AND(E135&lt;&gt;"",F135&lt;&gt;"",F135&lt;E135),"⚠ Fin avant début",IF(COUNTIFS($B$9:$B$208,B135,$C$9:$C$208,C135,$E$9:$E$208,E135)&gt;1,"⚠ Doublon","✓")))</f>
      </c>
    </row>
    <row r="136" ht="21" customHeight="1" spans="2:8" x14ac:dyDescent="0.25">
      <c r="B136" s="46"/>
      <c r="C136" s="46"/>
      <c r="D136" s="47">
        <f>IF(B136="","",IFERROR(INDEX('03 Personnes'!$D$9:$D$158,MATCH(B136,'03 Personnes'!$B$9:$B$158,0)),"—"))</f>
      </c>
      <c r="E136" s="49"/>
      <c r="F136" s="49"/>
      <c r="G136" s="47">
        <f>IF(B136="","",IF(OR(F136="",F136&gt;=TODAY()),"Oui","Non"))</f>
      </c>
      <c r="H136" s="48">
        <f>IF(B136="","",IF(AND(E136&lt;&gt;"",F136&lt;&gt;"",F136&lt;E136),"⚠ Fin avant début",IF(COUNTIFS($B$9:$B$208,B136,$C$9:$C$208,C136,$E$9:$E$208,E136)&gt;1,"⚠ Doublon","✓")))</f>
      </c>
    </row>
    <row r="137" ht="21" customHeight="1" spans="2:8" x14ac:dyDescent="0.25">
      <c r="B137" s="46"/>
      <c r="C137" s="46"/>
      <c r="D137" s="47">
        <f>IF(B137="","",IFERROR(INDEX('03 Personnes'!$D$9:$D$158,MATCH(B137,'03 Personnes'!$B$9:$B$158,0)),"—"))</f>
      </c>
      <c r="E137" s="49"/>
      <c r="F137" s="49"/>
      <c r="G137" s="47">
        <f>IF(B137="","",IF(OR(F137="",F137&gt;=TODAY()),"Oui","Non"))</f>
      </c>
      <c r="H137" s="48">
        <f>IF(B137="","",IF(AND(E137&lt;&gt;"",F137&lt;&gt;"",F137&lt;E137),"⚠ Fin avant début",IF(COUNTIFS($B$9:$B$208,B137,$C$9:$C$208,C137,$E$9:$E$208,E137)&gt;1,"⚠ Doublon","✓")))</f>
      </c>
    </row>
    <row r="138" ht="21" customHeight="1" spans="2:8" x14ac:dyDescent="0.25">
      <c r="B138" s="46"/>
      <c r="C138" s="46"/>
      <c r="D138" s="47">
        <f>IF(B138="","",IFERROR(INDEX('03 Personnes'!$D$9:$D$158,MATCH(B138,'03 Personnes'!$B$9:$B$158,0)),"—"))</f>
      </c>
      <c r="E138" s="49"/>
      <c r="F138" s="49"/>
      <c r="G138" s="47">
        <f>IF(B138="","",IF(OR(F138="",F138&gt;=TODAY()),"Oui","Non"))</f>
      </c>
      <c r="H138" s="48">
        <f>IF(B138="","",IF(AND(E138&lt;&gt;"",F138&lt;&gt;"",F138&lt;E138),"⚠ Fin avant début",IF(COUNTIFS($B$9:$B$208,B138,$C$9:$C$208,C138,$E$9:$E$208,E138)&gt;1,"⚠ Doublon","✓")))</f>
      </c>
    </row>
    <row r="139" ht="21" customHeight="1" spans="2:8" x14ac:dyDescent="0.25">
      <c r="B139" s="46"/>
      <c r="C139" s="46"/>
      <c r="D139" s="47">
        <f>IF(B139="","",IFERROR(INDEX('03 Personnes'!$D$9:$D$158,MATCH(B139,'03 Personnes'!$B$9:$B$158,0)),"—"))</f>
      </c>
      <c r="E139" s="49"/>
      <c r="F139" s="49"/>
      <c r="G139" s="47">
        <f>IF(B139="","",IF(OR(F139="",F139&gt;=TODAY()),"Oui","Non"))</f>
      </c>
      <c r="H139" s="48">
        <f>IF(B139="","",IF(AND(E139&lt;&gt;"",F139&lt;&gt;"",F139&lt;E139),"⚠ Fin avant début",IF(COUNTIFS($B$9:$B$208,B139,$C$9:$C$208,C139,$E$9:$E$208,E139)&gt;1,"⚠ Doublon","✓")))</f>
      </c>
    </row>
    <row r="140" ht="21" customHeight="1" spans="2:8" x14ac:dyDescent="0.25">
      <c r="B140" s="46"/>
      <c r="C140" s="46"/>
      <c r="D140" s="47">
        <f>IF(B140="","",IFERROR(INDEX('03 Personnes'!$D$9:$D$158,MATCH(B140,'03 Personnes'!$B$9:$B$158,0)),"—"))</f>
      </c>
      <c r="E140" s="49"/>
      <c r="F140" s="49"/>
      <c r="G140" s="47">
        <f>IF(B140="","",IF(OR(F140="",F140&gt;=TODAY()),"Oui","Non"))</f>
      </c>
      <c r="H140" s="48">
        <f>IF(B140="","",IF(AND(E140&lt;&gt;"",F140&lt;&gt;"",F140&lt;E140),"⚠ Fin avant début",IF(COUNTIFS($B$9:$B$208,B140,$C$9:$C$208,C140,$E$9:$E$208,E140)&gt;1,"⚠ Doublon","✓")))</f>
      </c>
    </row>
    <row r="141" ht="21" customHeight="1" spans="2:8" x14ac:dyDescent="0.25">
      <c r="B141" s="46"/>
      <c r="C141" s="46"/>
      <c r="D141" s="47">
        <f>IF(B141="","",IFERROR(INDEX('03 Personnes'!$D$9:$D$158,MATCH(B141,'03 Personnes'!$B$9:$B$158,0)),"—"))</f>
      </c>
      <c r="E141" s="49"/>
      <c r="F141" s="49"/>
      <c r="G141" s="47">
        <f>IF(B141="","",IF(OR(F141="",F141&gt;=TODAY()),"Oui","Non"))</f>
      </c>
      <c r="H141" s="48">
        <f>IF(B141="","",IF(AND(E141&lt;&gt;"",F141&lt;&gt;"",F141&lt;E141),"⚠ Fin avant début",IF(COUNTIFS($B$9:$B$208,B141,$C$9:$C$208,C141,$E$9:$E$208,E141)&gt;1,"⚠ Doublon","✓")))</f>
      </c>
    </row>
    <row r="142" ht="21" customHeight="1" spans="2:8" x14ac:dyDescent="0.25">
      <c r="B142" s="46"/>
      <c r="C142" s="46"/>
      <c r="D142" s="47">
        <f>IF(B142="","",IFERROR(INDEX('03 Personnes'!$D$9:$D$158,MATCH(B142,'03 Personnes'!$B$9:$B$158,0)),"—"))</f>
      </c>
      <c r="E142" s="49"/>
      <c r="F142" s="49"/>
      <c r="G142" s="47">
        <f>IF(B142="","",IF(OR(F142="",F142&gt;=TODAY()),"Oui","Non"))</f>
      </c>
      <c r="H142" s="48">
        <f>IF(B142="","",IF(AND(E142&lt;&gt;"",F142&lt;&gt;"",F142&lt;E142),"⚠ Fin avant début",IF(COUNTIFS($B$9:$B$208,B142,$C$9:$C$208,C142,$E$9:$E$208,E142)&gt;1,"⚠ Doublon","✓")))</f>
      </c>
    </row>
    <row r="143" ht="21" customHeight="1" spans="2:8" x14ac:dyDescent="0.25">
      <c r="B143" s="46"/>
      <c r="C143" s="46"/>
      <c r="D143" s="47">
        <f>IF(B143="","",IFERROR(INDEX('03 Personnes'!$D$9:$D$158,MATCH(B143,'03 Personnes'!$B$9:$B$158,0)),"—"))</f>
      </c>
      <c r="E143" s="49"/>
      <c r="F143" s="49"/>
      <c r="G143" s="47">
        <f>IF(B143="","",IF(OR(F143="",F143&gt;=TODAY()),"Oui","Non"))</f>
      </c>
      <c r="H143" s="48">
        <f>IF(B143="","",IF(AND(E143&lt;&gt;"",F143&lt;&gt;"",F143&lt;E143),"⚠ Fin avant début",IF(COUNTIFS($B$9:$B$208,B143,$C$9:$C$208,C143,$E$9:$E$208,E143)&gt;1,"⚠ Doublon","✓")))</f>
      </c>
    </row>
    <row r="144" ht="21" customHeight="1" spans="2:8" x14ac:dyDescent="0.25">
      <c r="B144" s="46"/>
      <c r="C144" s="46"/>
      <c r="D144" s="47">
        <f>IF(B144="","",IFERROR(INDEX('03 Personnes'!$D$9:$D$158,MATCH(B144,'03 Personnes'!$B$9:$B$158,0)),"—"))</f>
      </c>
      <c r="E144" s="49"/>
      <c r="F144" s="49"/>
      <c r="G144" s="47">
        <f>IF(B144="","",IF(OR(F144="",F144&gt;=TODAY()),"Oui","Non"))</f>
      </c>
      <c r="H144" s="48">
        <f>IF(B144="","",IF(AND(E144&lt;&gt;"",F144&lt;&gt;"",F144&lt;E144),"⚠ Fin avant début",IF(COUNTIFS($B$9:$B$208,B144,$C$9:$C$208,C144,$E$9:$E$208,E144)&gt;1,"⚠ Doublon","✓")))</f>
      </c>
    </row>
    <row r="145" ht="21" customHeight="1" spans="2:8" x14ac:dyDescent="0.25">
      <c r="B145" s="46"/>
      <c r="C145" s="46"/>
      <c r="D145" s="47">
        <f>IF(B145="","",IFERROR(INDEX('03 Personnes'!$D$9:$D$158,MATCH(B145,'03 Personnes'!$B$9:$B$158,0)),"—"))</f>
      </c>
      <c r="E145" s="49"/>
      <c r="F145" s="49"/>
      <c r="G145" s="47">
        <f>IF(B145="","",IF(OR(F145="",F145&gt;=TODAY()),"Oui","Non"))</f>
      </c>
      <c r="H145" s="48">
        <f>IF(B145="","",IF(AND(E145&lt;&gt;"",F145&lt;&gt;"",F145&lt;E145),"⚠ Fin avant début",IF(COUNTIFS($B$9:$B$208,B145,$C$9:$C$208,C145,$E$9:$E$208,E145)&gt;1,"⚠ Doublon","✓")))</f>
      </c>
    </row>
    <row r="146" ht="21" customHeight="1" spans="2:8" x14ac:dyDescent="0.25">
      <c r="B146" s="46"/>
      <c r="C146" s="46"/>
      <c r="D146" s="47">
        <f>IF(B146="","",IFERROR(INDEX('03 Personnes'!$D$9:$D$158,MATCH(B146,'03 Personnes'!$B$9:$B$158,0)),"—"))</f>
      </c>
      <c r="E146" s="49"/>
      <c r="F146" s="49"/>
      <c r="G146" s="47">
        <f>IF(B146="","",IF(OR(F146="",F146&gt;=TODAY()),"Oui","Non"))</f>
      </c>
      <c r="H146" s="48">
        <f>IF(B146="","",IF(AND(E146&lt;&gt;"",F146&lt;&gt;"",F146&lt;E146),"⚠ Fin avant début",IF(COUNTIFS($B$9:$B$208,B146,$C$9:$C$208,C146,$E$9:$E$208,E146)&gt;1,"⚠ Doublon","✓")))</f>
      </c>
    </row>
    <row r="147" ht="21" customHeight="1" spans="2:8" x14ac:dyDescent="0.25">
      <c r="B147" s="46"/>
      <c r="C147" s="46"/>
      <c r="D147" s="47">
        <f>IF(B147="","",IFERROR(INDEX('03 Personnes'!$D$9:$D$158,MATCH(B147,'03 Personnes'!$B$9:$B$158,0)),"—"))</f>
      </c>
      <c r="E147" s="49"/>
      <c r="F147" s="49"/>
      <c r="G147" s="47">
        <f>IF(B147="","",IF(OR(F147="",F147&gt;=TODAY()),"Oui","Non"))</f>
      </c>
      <c r="H147" s="48">
        <f>IF(B147="","",IF(AND(E147&lt;&gt;"",F147&lt;&gt;"",F147&lt;E147),"⚠ Fin avant début",IF(COUNTIFS($B$9:$B$208,B147,$C$9:$C$208,C147,$E$9:$E$208,E147)&gt;1,"⚠ Doublon","✓")))</f>
      </c>
    </row>
    <row r="148" ht="21" customHeight="1" spans="2:8" x14ac:dyDescent="0.25">
      <c r="B148" s="46"/>
      <c r="C148" s="46"/>
      <c r="D148" s="47">
        <f>IF(B148="","",IFERROR(INDEX('03 Personnes'!$D$9:$D$158,MATCH(B148,'03 Personnes'!$B$9:$B$158,0)),"—"))</f>
      </c>
      <c r="E148" s="49"/>
      <c r="F148" s="49"/>
      <c r="G148" s="47">
        <f>IF(B148="","",IF(OR(F148="",F148&gt;=TODAY()),"Oui","Non"))</f>
      </c>
      <c r="H148" s="48">
        <f>IF(B148="","",IF(AND(E148&lt;&gt;"",F148&lt;&gt;"",F148&lt;E148),"⚠ Fin avant début",IF(COUNTIFS($B$9:$B$208,B148,$C$9:$C$208,C148,$E$9:$E$208,E148)&gt;1,"⚠ Doublon","✓")))</f>
      </c>
    </row>
    <row r="149" ht="21" customHeight="1" spans="2:8" x14ac:dyDescent="0.25">
      <c r="B149" s="46"/>
      <c r="C149" s="46"/>
      <c r="D149" s="47">
        <f>IF(B149="","",IFERROR(INDEX('03 Personnes'!$D$9:$D$158,MATCH(B149,'03 Personnes'!$B$9:$B$158,0)),"—"))</f>
      </c>
      <c r="E149" s="49"/>
      <c r="F149" s="49"/>
      <c r="G149" s="47">
        <f>IF(B149="","",IF(OR(F149="",F149&gt;=TODAY()),"Oui","Non"))</f>
      </c>
      <c r="H149" s="48">
        <f>IF(B149="","",IF(AND(E149&lt;&gt;"",F149&lt;&gt;"",F149&lt;E149),"⚠ Fin avant début",IF(COUNTIFS($B$9:$B$208,B149,$C$9:$C$208,C149,$E$9:$E$208,E149)&gt;1,"⚠ Doublon","✓")))</f>
      </c>
    </row>
    <row r="150" ht="21" customHeight="1" spans="2:8" x14ac:dyDescent="0.25">
      <c r="B150" s="46"/>
      <c r="C150" s="46"/>
      <c r="D150" s="47">
        <f>IF(B150="","",IFERROR(INDEX('03 Personnes'!$D$9:$D$158,MATCH(B150,'03 Personnes'!$B$9:$B$158,0)),"—"))</f>
      </c>
      <c r="E150" s="49"/>
      <c r="F150" s="49"/>
      <c r="G150" s="47">
        <f>IF(B150="","",IF(OR(F150="",F150&gt;=TODAY()),"Oui","Non"))</f>
      </c>
      <c r="H150" s="48">
        <f>IF(B150="","",IF(AND(E150&lt;&gt;"",F150&lt;&gt;"",F150&lt;E150),"⚠ Fin avant début",IF(COUNTIFS($B$9:$B$208,B150,$C$9:$C$208,C150,$E$9:$E$208,E150)&gt;1,"⚠ Doublon","✓")))</f>
      </c>
    </row>
    <row r="151" ht="21" customHeight="1" spans="2:8" x14ac:dyDescent="0.25">
      <c r="B151" s="46"/>
      <c r="C151" s="46"/>
      <c r="D151" s="47">
        <f>IF(B151="","",IFERROR(INDEX('03 Personnes'!$D$9:$D$158,MATCH(B151,'03 Personnes'!$B$9:$B$158,0)),"—"))</f>
      </c>
      <c r="E151" s="49"/>
      <c r="F151" s="49"/>
      <c r="G151" s="47">
        <f>IF(B151="","",IF(OR(F151="",F151&gt;=TODAY()),"Oui","Non"))</f>
      </c>
      <c r="H151" s="48">
        <f>IF(B151="","",IF(AND(E151&lt;&gt;"",F151&lt;&gt;"",F151&lt;E151),"⚠ Fin avant début",IF(COUNTIFS($B$9:$B$208,B151,$C$9:$C$208,C151,$E$9:$E$208,E151)&gt;1,"⚠ Doublon","✓")))</f>
      </c>
    </row>
    <row r="152" ht="21" customHeight="1" spans="2:8" x14ac:dyDescent="0.25">
      <c r="B152" s="46"/>
      <c r="C152" s="46"/>
      <c r="D152" s="47">
        <f>IF(B152="","",IFERROR(INDEX('03 Personnes'!$D$9:$D$158,MATCH(B152,'03 Personnes'!$B$9:$B$158,0)),"—"))</f>
      </c>
      <c r="E152" s="49"/>
      <c r="F152" s="49"/>
      <c r="G152" s="47">
        <f>IF(B152="","",IF(OR(F152="",F152&gt;=TODAY()),"Oui","Non"))</f>
      </c>
      <c r="H152" s="48">
        <f>IF(B152="","",IF(AND(E152&lt;&gt;"",F152&lt;&gt;"",F152&lt;E152),"⚠ Fin avant début",IF(COUNTIFS($B$9:$B$208,B152,$C$9:$C$208,C152,$E$9:$E$208,E152)&gt;1,"⚠ Doublon","✓")))</f>
      </c>
    </row>
    <row r="153" ht="21" customHeight="1" spans="2:8" x14ac:dyDescent="0.25">
      <c r="B153" s="46"/>
      <c r="C153" s="46"/>
      <c r="D153" s="47">
        <f>IF(B153="","",IFERROR(INDEX('03 Personnes'!$D$9:$D$158,MATCH(B153,'03 Personnes'!$B$9:$B$158,0)),"—"))</f>
      </c>
      <c r="E153" s="49"/>
      <c r="F153" s="49"/>
      <c r="G153" s="47">
        <f>IF(B153="","",IF(OR(F153="",F153&gt;=TODAY()),"Oui","Non"))</f>
      </c>
      <c r="H153" s="48">
        <f>IF(B153="","",IF(AND(E153&lt;&gt;"",F153&lt;&gt;"",F153&lt;E153),"⚠ Fin avant début",IF(COUNTIFS($B$9:$B$208,B153,$C$9:$C$208,C153,$E$9:$E$208,E153)&gt;1,"⚠ Doublon","✓")))</f>
      </c>
    </row>
    <row r="154" ht="21" customHeight="1" spans="2:8" x14ac:dyDescent="0.25">
      <c r="B154" s="46"/>
      <c r="C154" s="46"/>
      <c r="D154" s="47">
        <f>IF(B154="","",IFERROR(INDEX('03 Personnes'!$D$9:$D$158,MATCH(B154,'03 Personnes'!$B$9:$B$158,0)),"—"))</f>
      </c>
      <c r="E154" s="49"/>
      <c r="F154" s="49"/>
      <c r="G154" s="47">
        <f>IF(B154="","",IF(OR(F154="",F154&gt;=TODAY()),"Oui","Non"))</f>
      </c>
      <c r="H154" s="48">
        <f>IF(B154="","",IF(AND(E154&lt;&gt;"",F154&lt;&gt;"",F154&lt;E154),"⚠ Fin avant début",IF(COUNTIFS($B$9:$B$208,B154,$C$9:$C$208,C154,$E$9:$E$208,E154)&gt;1,"⚠ Doublon","✓")))</f>
      </c>
    </row>
    <row r="155" ht="21" customHeight="1" spans="2:8" x14ac:dyDescent="0.25">
      <c r="B155" s="46"/>
      <c r="C155" s="46"/>
      <c r="D155" s="47">
        <f>IF(B155="","",IFERROR(INDEX('03 Personnes'!$D$9:$D$158,MATCH(B155,'03 Personnes'!$B$9:$B$158,0)),"—"))</f>
      </c>
      <c r="E155" s="49"/>
      <c r="F155" s="49"/>
      <c r="G155" s="47">
        <f>IF(B155="","",IF(OR(F155="",F155&gt;=TODAY()),"Oui","Non"))</f>
      </c>
      <c r="H155" s="48">
        <f>IF(B155="","",IF(AND(E155&lt;&gt;"",F155&lt;&gt;"",F155&lt;E155),"⚠ Fin avant début",IF(COUNTIFS($B$9:$B$208,B155,$C$9:$C$208,C155,$E$9:$E$208,E155)&gt;1,"⚠ Doublon","✓")))</f>
      </c>
    </row>
    <row r="156" ht="21" customHeight="1" spans="2:8" x14ac:dyDescent="0.25">
      <c r="B156" s="46"/>
      <c r="C156" s="46"/>
      <c r="D156" s="47">
        <f>IF(B156="","",IFERROR(INDEX('03 Personnes'!$D$9:$D$158,MATCH(B156,'03 Personnes'!$B$9:$B$158,0)),"—"))</f>
      </c>
      <c r="E156" s="49"/>
      <c r="F156" s="49"/>
      <c r="G156" s="47">
        <f>IF(B156="","",IF(OR(F156="",F156&gt;=TODAY()),"Oui","Non"))</f>
      </c>
      <c r="H156" s="48">
        <f>IF(B156="","",IF(AND(E156&lt;&gt;"",F156&lt;&gt;"",F156&lt;E156),"⚠ Fin avant début",IF(COUNTIFS($B$9:$B$208,B156,$C$9:$C$208,C156,$E$9:$E$208,E156)&gt;1,"⚠ Doublon","✓")))</f>
      </c>
    </row>
    <row r="157" ht="21" customHeight="1" spans="2:8" x14ac:dyDescent="0.25">
      <c r="B157" s="46"/>
      <c r="C157" s="46"/>
      <c r="D157" s="47">
        <f>IF(B157="","",IFERROR(INDEX('03 Personnes'!$D$9:$D$158,MATCH(B157,'03 Personnes'!$B$9:$B$158,0)),"—"))</f>
      </c>
      <c r="E157" s="49"/>
      <c r="F157" s="49"/>
      <c r="G157" s="47">
        <f>IF(B157="","",IF(OR(F157="",F157&gt;=TODAY()),"Oui","Non"))</f>
      </c>
      <c r="H157" s="48">
        <f>IF(B157="","",IF(AND(E157&lt;&gt;"",F157&lt;&gt;"",F157&lt;E157),"⚠ Fin avant début",IF(COUNTIFS($B$9:$B$208,B157,$C$9:$C$208,C157,$E$9:$E$208,E157)&gt;1,"⚠ Doublon","✓")))</f>
      </c>
    </row>
    <row r="158" ht="21" customHeight="1" spans="2:8" x14ac:dyDescent="0.25">
      <c r="B158" s="46"/>
      <c r="C158" s="46"/>
      <c r="D158" s="47">
        <f>IF(B158="","",IFERROR(INDEX('03 Personnes'!$D$9:$D$158,MATCH(B158,'03 Personnes'!$B$9:$B$158,0)),"—"))</f>
      </c>
      <c r="E158" s="49"/>
      <c r="F158" s="49"/>
      <c r="G158" s="47">
        <f>IF(B158="","",IF(OR(F158="",F158&gt;=TODAY()),"Oui","Non"))</f>
      </c>
      <c r="H158" s="48">
        <f>IF(B158="","",IF(AND(E158&lt;&gt;"",F158&lt;&gt;"",F158&lt;E158),"⚠ Fin avant début",IF(COUNTIFS($B$9:$B$208,B158,$C$9:$C$208,C158,$E$9:$E$208,E158)&gt;1,"⚠ Doublon","✓")))</f>
      </c>
    </row>
    <row r="159" ht="21" customHeight="1" spans="2:8" x14ac:dyDescent="0.25">
      <c r="B159" s="46"/>
      <c r="C159" s="46"/>
      <c r="D159" s="47">
        <f>IF(B159="","",IFERROR(INDEX('03 Personnes'!$D$9:$D$158,MATCH(B159,'03 Personnes'!$B$9:$B$158,0)),"—"))</f>
      </c>
      <c r="E159" s="49"/>
      <c r="F159" s="49"/>
      <c r="G159" s="47">
        <f>IF(B159="","",IF(OR(F159="",F159&gt;=TODAY()),"Oui","Non"))</f>
      </c>
      <c r="H159" s="48">
        <f>IF(B159="","",IF(AND(E159&lt;&gt;"",F159&lt;&gt;"",F159&lt;E159),"⚠ Fin avant début",IF(COUNTIFS($B$9:$B$208,B159,$C$9:$C$208,C159,$E$9:$E$208,E159)&gt;1,"⚠ Doublon","✓")))</f>
      </c>
    </row>
    <row r="160" ht="21" customHeight="1" spans="2:8" x14ac:dyDescent="0.25">
      <c r="B160" s="46"/>
      <c r="C160" s="46"/>
      <c r="D160" s="47">
        <f>IF(B160="","",IFERROR(INDEX('03 Personnes'!$D$9:$D$158,MATCH(B160,'03 Personnes'!$B$9:$B$158,0)),"—"))</f>
      </c>
      <c r="E160" s="49"/>
      <c r="F160" s="49"/>
      <c r="G160" s="47">
        <f>IF(B160="","",IF(OR(F160="",F160&gt;=TODAY()),"Oui","Non"))</f>
      </c>
      <c r="H160" s="48">
        <f>IF(B160="","",IF(AND(E160&lt;&gt;"",F160&lt;&gt;"",F160&lt;E160),"⚠ Fin avant début",IF(COUNTIFS($B$9:$B$208,B160,$C$9:$C$208,C160,$E$9:$E$208,E160)&gt;1,"⚠ Doublon","✓")))</f>
      </c>
    </row>
    <row r="161" ht="21" customHeight="1" spans="2:8" x14ac:dyDescent="0.25">
      <c r="B161" s="46"/>
      <c r="C161" s="46"/>
      <c r="D161" s="47">
        <f>IF(B161="","",IFERROR(INDEX('03 Personnes'!$D$9:$D$158,MATCH(B161,'03 Personnes'!$B$9:$B$158,0)),"—"))</f>
      </c>
      <c r="E161" s="49"/>
      <c r="F161" s="49"/>
      <c r="G161" s="47">
        <f>IF(B161="","",IF(OR(F161="",F161&gt;=TODAY()),"Oui","Non"))</f>
      </c>
      <c r="H161" s="48">
        <f>IF(B161="","",IF(AND(E161&lt;&gt;"",F161&lt;&gt;"",F161&lt;E161),"⚠ Fin avant début",IF(COUNTIFS($B$9:$B$208,B161,$C$9:$C$208,C161,$E$9:$E$208,E161)&gt;1,"⚠ Doublon","✓")))</f>
      </c>
    </row>
    <row r="162" ht="21" customHeight="1" spans="2:8" x14ac:dyDescent="0.25">
      <c r="B162" s="46"/>
      <c r="C162" s="46"/>
      <c r="D162" s="47">
        <f>IF(B162="","",IFERROR(INDEX('03 Personnes'!$D$9:$D$158,MATCH(B162,'03 Personnes'!$B$9:$B$158,0)),"—"))</f>
      </c>
      <c r="E162" s="49"/>
      <c r="F162" s="49"/>
      <c r="G162" s="47">
        <f>IF(B162="","",IF(OR(F162="",F162&gt;=TODAY()),"Oui","Non"))</f>
      </c>
      <c r="H162" s="48">
        <f>IF(B162="","",IF(AND(E162&lt;&gt;"",F162&lt;&gt;"",F162&lt;E162),"⚠ Fin avant début",IF(COUNTIFS($B$9:$B$208,B162,$C$9:$C$208,C162,$E$9:$E$208,E162)&gt;1,"⚠ Doublon","✓")))</f>
      </c>
    </row>
    <row r="163" ht="21" customHeight="1" spans="2:8" x14ac:dyDescent="0.25">
      <c r="B163" s="46"/>
      <c r="C163" s="46"/>
      <c r="D163" s="47">
        <f>IF(B163="","",IFERROR(INDEX('03 Personnes'!$D$9:$D$158,MATCH(B163,'03 Personnes'!$B$9:$B$158,0)),"—"))</f>
      </c>
      <c r="E163" s="49"/>
      <c r="F163" s="49"/>
      <c r="G163" s="47">
        <f>IF(B163="","",IF(OR(F163="",F163&gt;=TODAY()),"Oui","Non"))</f>
      </c>
      <c r="H163" s="48">
        <f>IF(B163="","",IF(AND(E163&lt;&gt;"",F163&lt;&gt;"",F163&lt;E163),"⚠ Fin avant début",IF(COUNTIFS($B$9:$B$208,B163,$C$9:$C$208,C163,$E$9:$E$208,E163)&gt;1,"⚠ Doublon","✓")))</f>
      </c>
    </row>
    <row r="164" ht="21" customHeight="1" spans="2:8" x14ac:dyDescent="0.25">
      <c r="B164" s="46"/>
      <c r="C164" s="46"/>
      <c r="D164" s="47">
        <f>IF(B164="","",IFERROR(INDEX('03 Personnes'!$D$9:$D$158,MATCH(B164,'03 Personnes'!$B$9:$B$158,0)),"—"))</f>
      </c>
      <c r="E164" s="49"/>
      <c r="F164" s="49"/>
      <c r="G164" s="47">
        <f>IF(B164="","",IF(OR(F164="",F164&gt;=TODAY()),"Oui","Non"))</f>
      </c>
      <c r="H164" s="48">
        <f>IF(B164="","",IF(AND(E164&lt;&gt;"",F164&lt;&gt;"",F164&lt;E164),"⚠ Fin avant début",IF(COUNTIFS($B$9:$B$208,B164,$C$9:$C$208,C164,$E$9:$E$208,E164)&gt;1,"⚠ Doublon","✓")))</f>
      </c>
    </row>
    <row r="165" ht="21" customHeight="1" spans="2:8" x14ac:dyDescent="0.25">
      <c r="B165" s="46"/>
      <c r="C165" s="46"/>
      <c r="D165" s="47">
        <f>IF(B165="","",IFERROR(INDEX('03 Personnes'!$D$9:$D$158,MATCH(B165,'03 Personnes'!$B$9:$B$158,0)),"—"))</f>
      </c>
      <c r="E165" s="49"/>
      <c r="F165" s="49"/>
      <c r="G165" s="47">
        <f>IF(B165="","",IF(OR(F165="",F165&gt;=TODAY()),"Oui","Non"))</f>
      </c>
      <c r="H165" s="48">
        <f>IF(B165="","",IF(AND(E165&lt;&gt;"",F165&lt;&gt;"",F165&lt;E165),"⚠ Fin avant début",IF(COUNTIFS($B$9:$B$208,B165,$C$9:$C$208,C165,$E$9:$E$208,E165)&gt;1,"⚠ Doublon","✓")))</f>
      </c>
    </row>
    <row r="166" ht="21" customHeight="1" spans="2:8" x14ac:dyDescent="0.25">
      <c r="B166" s="46"/>
      <c r="C166" s="46"/>
      <c r="D166" s="47">
        <f>IF(B166="","",IFERROR(INDEX('03 Personnes'!$D$9:$D$158,MATCH(B166,'03 Personnes'!$B$9:$B$158,0)),"—"))</f>
      </c>
      <c r="E166" s="49"/>
      <c r="F166" s="49"/>
      <c r="G166" s="47">
        <f>IF(B166="","",IF(OR(F166="",F166&gt;=TODAY()),"Oui","Non"))</f>
      </c>
      <c r="H166" s="48">
        <f>IF(B166="","",IF(AND(E166&lt;&gt;"",F166&lt;&gt;"",F166&lt;E166),"⚠ Fin avant début",IF(COUNTIFS($B$9:$B$208,B166,$C$9:$C$208,C166,$E$9:$E$208,E166)&gt;1,"⚠ Doublon","✓")))</f>
      </c>
    </row>
    <row r="167" ht="21" customHeight="1" spans="2:8" x14ac:dyDescent="0.25">
      <c r="B167" s="46"/>
      <c r="C167" s="46"/>
      <c r="D167" s="47">
        <f>IF(B167="","",IFERROR(INDEX('03 Personnes'!$D$9:$D$158,MATCH(B167,'03 Personnes'!$B$9:$B$158,0)),"—"))</f>
      </c>
      <c r="E167" s="49"/>
      <c r="F167" s="49"/>
      <c r="G167" s="47">
        <f>IF(B167="","",IF(OR(F167="",F167&gt;=TODAY()),"Oui","Non"))</f>
      </c>
      <c r="H167" s="48">
        <f>IF(B167="","",IF(AND(E167&lt;&gt;"",F167&lt;&gt;"",F167&lt;E167),"⚠ Fin avant début",IF(COUNTIFS($B$9:$B$208,B167,$C$9:$C$208,C167,$E$9:$E$208,E167)&gt;1,"⚠ Doublon","✓")))</f>
      </c>
    </row>
    <row r="168" ht="21" customHeight="1" spans="2:8" x14ac:dyDescent="0.25">
      <c r="B168" s="46"/>
      <c r="C168" s="46"/>
      <c r="D168" s="47">
        <f>IF(B168="","",IFERROR(INDEX('03 Personnes'!$D$9:$D$158,MATCH(B168,'03 Personnes'!$B$9:$B$158,0)),"—"))</f>
      </c>
      <c r="E168" s="49"/>
      <c r="F168" s="49"/>
      <c r="G168" s="47">
        <f>IF(B168="","",IF(OR(F168="",F168&gt;=TODAY()),"Oui","Non"))</f>
      </c>
      <c r="H168" s="48">
        <f>IF(B168="","",IF(AND(E168&lt;&gt;"",F168&lt;&gt;"",F168&lt;E168),"⚠ Fin avant début",IF(COUNTIFS($B$9:$B$208,B168,$C$9:$C$208,C168,$E$9:$E$208,E168)&gt;1,"⚠ Doublon","✓")))</f>
      </c>
    </row>
    <row r="169" ht="21" customHeight="1" spans="2:8" x14ac:dyDescent="0.25">
      <c r="B169" s="46"/>
      <c r="C169" s="46"/>
      <c r="D169" s="47">
        <f>IF(B169="","",IFERROR(INDEX('03 Personnes'!$D$9:$D$158,MATCH(B169,'03 Personnes'!$B$9:$B$158,0)),"—"))</f>
      </c>
      <c r="E169" s="49"/>
      <c r="F169" s="49"/>
      <c r="G169" s="47">
        <f>IF(B169="","",IF(OR(F169="",F169&gt;=TODAY()),"Oui","Non"))</f>
      </c>
      <c r="H169" s="48">
        <f>IF(B169="","",IF(AND(E169&lt;&gt;"",F169&lt;&gt;"",F169&lt;E169),"⚠ Fin avant début",IF(COUNTIFS($B$9:$B$208,B169,$C$9:$C$208,C169,$E$9:$E$208,E169)&gt;1,"⚠ Doublon","✓")))</f>
      </c>
    </row>
    <row r="170" ht="21" customHeight="1" spans="2:8" x14ac:dyDescent="0.25">
      <c r="B170" s="46"/>
      <c r="C170" s="46"/>
      <c r="D170" s="47">
        <f>IF(B170="","",IFERROR(INDEX('03 Personnes'!$D$9:$D$158,MATCH(B170,'03 Personnes'!$B$9:$B$158,0)),"—"))</f>
      </c>
      <c r="E170" s="49"/>
      <c r="F170" s="49"/>
      <c r="G170" s="47">
        <f>IF(B170="","",IF(OR(F170="",F170&gt;=TODAY()),"Oui","Non"))</f>
      </c>
      <c r="H170" s="48">
        <f>IF(B170="","",IF(AND(E170&lt;&gt;"",F170&lt;&gt;"",F170&lt;E170),"⚠ Fin avant début",IF(COUNTIFS($B$9:$B$208,B170,$C$9:$C$208,C170,$E$9:$E$208,E170)&gt;1,"⚠ Doublon","✓")))</f>
      </c>
    </row>
    <row r="171" ht="21" customHeight="1" spans="2:8" x14ac:dyDescent="0.25">
      <c r="B171" s="46"/>
      <c r="C171" s="46"/>
      <c r="D171" s="47">
        <f>IF(B171="","",IFERROR(INDEX('03 Personnes'!$D$9:$D$158,MATCH(B171,'03 Personnes'!$B$9:$B$158,0)),"—"))</f>
      </c>
      <c r="E171" s="49"/>
      <c r="F171" s="49"/>
      <c r="G171" s="47">
        <f>IF(B171="","",IF(OR(F171="",F171&gt;=TODAY()),"Oui","Non"))</f>
      </c>
      <c r="H171" s="48">
        <f>IF(B171="","",IF(AND(E171&lt;&gt;"",F171&lt;&gt;"",F171&lt;E171),"⚠ Fin avant début",IF(COUNTIFS($B$9:$B$208,B171,$C$9:$C$208,C171,$E$9:$E$208,E171)&gt;1,"⚠ Doublon","✓")))</f>
      </c>
    </row>
    <row r="172" ht="21" customHeight="1" spans="2:8" x14ac:dyDescent="0.25">
      <c r="B172" s="46"/>
      <c r="C172" s="46"/>
      <c r="D172" s="47">
        <f>IF(B172="","",IFERROR(INDEX('03 Personnes'!$D$9:$D$158,MATCH(B172,'03 Personnes'!$B$9:$B$158,0)),"—"))</f>
      </c>
      <c r="E172" s="49"/>
      <c r="F172" s="49"/>
      <c r="G172" s="47">
        <f>IF(B172="","",IF(OR(F172="",F172&gt;=TODAY()),"Oui","Non"))</f>
      </c>
      <c r="H172" s="48">
        <f>IF(B172="","",IF(AND(E172&lt;&gt;"",F172&lt;&gt;"",F172&lt;E172),"⚠ Fin avant début",IF(COUNTIFS($B$9:$B$208,B172,$C$9:$C$208,C172,$E$9:$E$208,E172)&gt;1,"⚠ Doublon","✓")))</f>
      </c>
    </row>
    <row r="173" ht="21" customHeight="1" spans="2:8" x14ac:dyDescent="0.25">
      <c r="B173" s="46"/>
      <c r="C173" s="46"/>
      <c r="D173" s="47">
        <f>IF(B173="","",IFERROR(INDEX('03 Personnes'!$D$9:$D$158,MATCH(B173,'03 Personnes'!$B$9:$B$158,0)),"—"))</f>
      </c>
      <c r="E173" s="49"/>
      <c r="F173" s="49"/>
      <c r="G173" s="47">
        <f>IF(B173="","",IF(OR(F173="",F173&gt;=TODAY()),"Oui","Non"))</f>
      </c>
      <c r="H173" s="48">
        <f>IF(B173="","",IF(AND(E173&lt;&gt;"",F173&lt;&gt;"",F173&lt;E173),"⚠ Fin avant début",IF(COUNTIFS($B$9:$B$208,B173,$C$9:$C$208,C173,$E$9:$E$208,E173)&gt;1,"⚠ Doublon","✓")))</f>
      </c>
    </row>
    <row r="174" ht="21" customHeight="1" spans="2:8" x14ac:dyDescent="0.25">
      <c r="B174" s="46"/>
      <c r="C174" s="46"/>
      <c r="D174" s="47">
        <f>IF(B174="","",IFERROR(INDEX('03 Personnes'!$D$9:$D$158,MATCH(B174,'03 Personnes'!$B$9:$B$158,0)),"—"))</f>
      </c>
      <c r="E174" s="49"/>
      <c r="F174" s="49"/>
      <c r="G174" s="47">
        <f>IF(B174="","",IF(OR(F174="",F174&gt;=TODAY()),"Oui","Non"))</f>
      </c>
      <c r="H174" s="48">
        <f>IF(B174="","",IF(AND(E174&lt;&gt;"",F174&lt;&gt;"",F174&lt;E174),"⚠ Fin avant début",IF(COUNTIFS($B$9:$B$208,B174,$C$9:$C$208,C174,$E$9:$E$208,E174)&gt;1,"⚠ Doublon","✓")))</f>
      </c>
    </row>
    <row r="175" ht="21" customHeight="1" spans="2:8" x14ac:dyDescent="0.25">
      <c r="B175" s="46"/>
      <c r="C175" s="46"/>
      <c r="D175" s="47">
        <f>IF(B175="","",IFERROR(INDEX('03 Personnes'!$D$9:$D$158,MATCH(B175,'03 Personnes'!$B$9:$B$158,0)),"—"))</f>
      </c>
      <c r="E175" s="49"/>
      <c r="F175" s="49"/>
      <c r="G175" s="47">
        <f>IF(B175="","",IF(OR(F175="",F175&gt;=TODAY()),"Oui","Non"))</f>
      </c>
      <c r="H175" s="48">
        <f>IF(B175="","",IF(AND(E175&lt;&gt;"",F175&lt;&gt;"",F175&lt;E175),"⚠ Fin avant début",IF(COUNTIFS($B$9:$B$208,B175,$C$9:$C$208,C175,$E$9:$E$208,E175)&gt;1,"⚠ Doublon","✓")))</f>
      </c>
    </row>
    <row r="176" ht="21" customHeight="1" spans="2:8" x14ac:dyDescent="0.25">
      <c r="B176" s="46"/>
      <c r="C176" s="46"/>
      <c r="D176" s="47">
        <f>IF(B176="","",IFERROR(INDEX('03 Personnes'!$D$9:$D$158,MATCH(B176,'03 Personnes'!$B$9:$B$158,0)),"—"))</f>
      </c>
      <c r="E176" s="49"/>
      <c r="F176" s="49"/>
      <c r="G176" s="47">
        <f>IF(B176="","",IF(OR(F176="",F176&gt;=TODAY()),"Oui","Non"))</f>
      </c>
      <c r="H176" s="48">
        <f>IF(B176="","",IF(AND(E176&lt;&gt;"",F176&lt;&gt;"",F176&lt;E176),"⚠ Fin avant début",IF(COUNTIFS($B$9:$B$208,B176,$C$9:$C$208,C176,$E$9:$E$208,E176)&gt;1,"⚠ Doublon","✓")))</f>
      </c>
    </row>
    <row r="177" ht="21" customHeight="1" spans="2:8" x14ac:dyDescent="0.25">
      <c r="B177" s="46"/>
      <c r="C177" s="46"/>
      <c r="D177" s="47">
        <f>IF(B177="","",IFERROR(INDEX('03 Personnes'!$D$9:$D$158,MATCH(B177,'03 Personnes'!$B$9:$B$158,0)),"—"))</f>
      </c>
      <c r="E177" s="49"/>
      <c r="F177" s="49"/>
      <c r="G177" s="47">
        <f>IF(B177="","",IF(OR(F177="",F177&gt;=TODAY()),"Oui","Non"))</f>
      </c>
      <c r="H177" s="48">
        <f>IF(B177="","",IF(AND(E177&lt;&gt;"",F177&lt;&gt;"",F177&lt;E177),"⚠ Fin avant début",IF(COUNTIFS($B$9:$B$208,B177,$C$9:$C$208,C177,$E$9:$E$208,E177)&gt;1,"⚠ Doublon","✓")))</f>
      </c>
    </row>
    <row r="178" ht="21" customHeight="1" spans="2:8" x14ac:dyDescent="0.25">
      <c r="B178" s="46"/>
      <c r="C178" s="46"/>
      <c r="D178" s="47">
        <f>IF(B178="","",IFERROR(INDEX('03 Personnes'!$D$9:$D$158,MATCH(B178,'03 Personnes'!$B$9:$B$158,0)),"—"))</f>
      </c>
      <c r="E178" s="49"/>
      <c r="F178" s="49"/>
      <c r="G178" s="47">
        <f>IF(B178="","",IF(OR(F178="",F178&gt;=TODAY()),"Oui","Non"))</f>
      </c>
      <c r="H178" s="48">
        <f>IF(B178="","",IF(AND(E178&lt;&gt;"",F178&lt;&gt;"",F178&lt;E178),"⚠ Fin avant début",IF(COUNTIFS($B$9:$B$208,B178,$C$9:$C$208,C178,$E$9:$E$208,E178)&gt;1,"⚠ Doublon","✓")))</f>
      </c>
    </row>
    <row r="179" ht="21" customHeight="1" spans="2:8" x14ac:dyDescent="0.25">
      <c r="B179" s="46"/>
      <c r="C179" s="46"/>
      <c r="D179" s="47">
        <f>IF(B179="","",IFERROR(INDEX('03 Personnes'!$D$9:$D$158,MATCH(B179,'03 Personnes'!$B$9:$B$158,0)),"—"))</f>
      </c>
      <c r="E179" s="49"/>
      <c r="F179" s="49"/>
      <c r="G179" s="47">
        <f>IF(B179="","",IF(OR(F179="",F179&gt;=TODAY()),"Oui","Non"))</f>
      </c>
      <c r="H179" s="48">
        <f>IF(B179="","",IF(AND(E179&lt;&gt;"",F179&lt;&gt;"",F179&lt;E179),"⚠ Fin avant début",IF(COUNTIFS($B$9:$B$208,B179,$C$9:$C$208,C179,$E$9:$E$208,E179)&gt;1,"⚠ Doublon","✓")))</f>
      </c>
    </row>
    <row r="180" ht="21" customHeight="1" spans="2:8" x14ac:dyDescent="0.25">
      <c r="B180" s="46"/>
      <c r="C180" s="46"/>
      <c r="D180" s="47">
        <f>IF(B180="","",IFERROR(INDEX('03 Personnes'!$D$9:$D$158,MATCH(B180,'03 Personnes'!$B$9:$B$158,0)),"—"))</f>
      </c>
      <c r="E180" s="49"/>
      <c r="F180" s="49"/>
      <c r="G180" s="47">
        <f>IF(B180="","",IF(OR(F180="",F180&gt;=TODAY()),"Oui","Non"))</f>
      </c>
      <c r="H180" s="48">
        <f>IF(B180="","",IF(AND(E180&lt;&gt;"",F180&lt;&gt;"",F180&lt;E180),"⚠ Fin avant début",IF(COUNTIFS($B$9:$B$208,B180,$C$9:$C$208,C180,$E$9:$E$208,E180)&gt;1,"⚠ Doublon","✓")))</f>
      </c>
    </row>
    <row r="181" ht="21" customHeight="1" spans="2:8" x14ac:dyDescent="0.25">
      <c r="B181" s="46"/>
      <c r="C181" s="46"/>
      <c r="D181" s="47">
        <f>IF(B181="","",IFERROR(INDEX('03 Personnes'!$D$9:$D$158,MATCH(B181,'03 Personnes'!$B$9:$B$158,0)),"—"))</f>
      </c>
      <c r="E181" s="49"/>
      <c r="F181" s="49"/>
      <c r="G181" s="47">
        <f>IF(B181="","",IF(OR(F181="",F181&gt;=TODAY()),"Oui","Non"))</f>
      </c>
      <c r="H181" s="48">
        <f>IF(B181="","",IF(AND(E181&lt;&gt;"",F181&lt;&gt;"",F181&lt;E181),"⚠ Fin avant début",IF(COUNTIFS($B$9:$B$208,B181,$C$9:$C$208,C181,$E$9:$E$208,E181)&gt;1,"⚠ Doublon","✓")))</f>
      </c>
    </row>
    <row r="182" ht="21" customHeight="1" spans="2:8" x14ac:dyDescent="0.25">
      <c r="B182" s="46"/>
      <c r="C182" s="46"/>
      <c r="D182" s="47">
        <f>IF(B182="","",IFERROR(INDEX('03 Personnes'!$D$9:$D$158,MATCH(B182,'03 Personnes'!$B$9:$B$158,0)),"—"))</f>
      </c>
      <c r="E182" s="49"/>
      <c r="F182" s="49"/>
      <c r="G182" s="47">
        <f>IF(B182="","",IF(OR(F182="",F182&gt;=TODAY()),"Oui","Non"))</f>
      </c>
      <c r="H182" s="48">
        <f>IF(B182="","",IF(AND(E182&lt;&gt;"",F182&lt;&gt;"",F182&lt;E182),"⚠ Fin avant début",IF(COUNTIFS($B$9:$B$208,B182,$C$9:$C$208,C182,$E$9:$E$208,E182)&gt;1,"⚠ Doublon","✓")))</f>
      </c>
    </row>
    <row r="183" ht="21" customHeight="1" spans="2:8" x14ac:dyDescent="0.25">
      <c r="B183" s="46"/>
      <c r="C183" s="46"/>
      <c r="D183" s="47">
        <f>IF(B183="","",IFERROR(INDEX('03 Personnes'!$D$9:$D$158,MATCH(B183,'03 Personnes'!$B$9:$B$158,0)),"—"))</f>
      </c>
      <c r="E183" s="49"/>
      <c r="F183" s="49"/>
      <c r="G183" s="47">
        <f>IF(B183="","",IF(OR(F183="",F183&gt;=TODAY()),"Oui","Non"))</f>
      </c>
      <c r="H183" s="48">
        <f>IF(B183="","",IF(AND(E183&lt;&gt;"",F183&lt;&gt;"",F183&lt;E183),"⚠ Fin avant début",IF(COUNTIFS($B$9:$B$208,B183,$C$9:$C$208,C183,$E$9:$E$208,E183)&gt;1,"⚠ Doublon","✓")))</f>
      </c>
    </row>
    <row r="184" ht="21" customHeight="1" spans="2:8" x14ac:dyDescent="0.25">
      <c r="B184" s="46"/>
      <c r="C184" s="46"/>
      <c r="D184" s="47">
        <f>IF(B184="","",IFERROR(INDEX('03 Personnes'!$D$9:$D$158,MATCH(B184,'03 Personnes'!$B$9:$B$158,0)),"—"))</f>
      </c>
      <c r="E184" s="49"/>
      <c r="F184" s="49"/>
      <c r="G184" s="47">
        <f>IF(B184="","",IF(OR(F184="",F184&gt;=TODAY()),"Oui","Non"))</f>
      </c>
      <c r="H184" s="48">
        <f>IF(B184="","",IF(AND(E184&lt;&gt;"",F184&lt;&gt;"",F184&lt;E184),"⚠ Fin avant début",IF(COUNTIFS($B$9:$B$208,B184,$C$9:$C$208,C184,$E$9:$E$208,E184)&gt;1,"⚠ Doublon","✓")))</f>
      </c>
    </row>
    <row r="185" ht="21" customHeight="1" spans="2:8" x14ac:dyDescent="0.25">
      <c r="B185" s="46"/>
      <c r="C185" s="46"/>
      <c r="D185" s="47">
        <f>IF(B185="","",IFERROR(INDEX('03 Personnes'!$D$9:$D$158,MATCH(B185,'03 Personnes'!$B$9:$B$158,0)),"—"))</f>
      </c>
      <c r="E185" s="49"/>
      <c r="F185" s="49"/>
      <c r="G185" s="47">
        <f>IF(B185="","",IF(OR(F185="",F185&gt;=TODAY()),"Oui","Non"))</f>
      </c>
      <c r="H185" s="48">
        <f>IF(B185="","",IF(AND(E185&lt;&gt;"",F185&lt;&gt;"",F185&lt;E185),"⚠ Fin avant début",IF(COUNTIFS($B$9:$B$208,B185,$C$9:$C$208,C185,$E$9:$E$208,E185)&gt;1,"⚠ Doublon","✓")))</f>
      </c>
    </row>
    <row r="186" ht="21" customHeight="1" spans="2:8" x14ac:dyDescent="0.25">
      <c r="B186" s="46"/>
      <c r="C186" s="46"/>
      <c r="D186" s="47">
        <f>IF(B186="","",IFERROR(INDEX('03 Personnes'!$D$9:$D$158,MATCH(B186,'03 Personnes'!$B$9:$B$158,0)),"—"))</f>
      </c>
      <c r="E186" s="49"/>
      <c r="F186" s="49"/>
      <c r="G186" s="47">
        <f>IF(B186="","",IF(OR(F186="",F186&gt;=TODAY()),"Oui","Non"))</f>
      </c>
      <c r="H186" s="48">
        <f>IF(B186="","",IF(AND(E186&lt;&gt;"",F186&lt;&gt;"",F186&lt;E186),"⚠ Fin avant début",IF(COUNTIFS($B$9:$B$208,B186,$C$9:$C$208,C186,$E$9:$E$208,E186)&gt;1,"⚠ Doublon","✓")))</f>
      </c>
    </row>
    <row r="187" ht="21" customHeight="1" spans="2:8" x14ac:dyDescent="0.25">
      <c r="B187" s="46"/>
      <c r="C187" s="46"/>
      <c r="D187" s="47">
        <f>IF(B187="","",IFERROR(INDEX('03 Personnes'!$D$9:$D$158,MATCH(B187,'03 Personnes'!$B$9:$B$158,0)),"—"))</f>
      </c>
      <c r="E187" s="49"/>
      <c r="F187" s="49"/>
      <c r="G187" s="47">
        <f>IF(B187="","",IF(OR(F187="",F187&gt;=TODAY()),"Oui","Non"))</f>
      </c>
      <c r="H187" s="48">
        <f>IF(B187="","",IF(AND(E187&lt;&gt;"",F187&lt;&gt;"",F187&lt;E187),"⚠ Fin avant début",IF(COUNTIFS($B$9:$B$208,B187,$C$9:$C$208,C187,$E$9:$E$208,E187)&gt;1,"⚠ Doublon","✓")))</f>
      </c>
    </row>
    <row r="188" ht="21" customHeight="1" spans="2:8" x14ac:dyDescent="0.25">
      <c r="B188" s="46"/>
      <c r="C188" s="46"/>
      <c r="D188" s="47">
        <f>IF(B188="","",IFERROR(INDEX('03 Personnes'!$D$9:$D$158,MATCH(B188,'03 Personnes'!$B$9:$B$158,0)),"—"))</f>
      </c>
      <c r="E188" s="49"/>
      <c r="F188" s="49"/>
      <c r="G188" s="47">
        <f>IF(B188="","",IF(OR(F188="",F188&gt;=TODAY()),"Oui","Non"))</f>
      </c>
      <c r="H188" s="48">
        <f>IF(B188="","",IF(AND(E188&lt;&gt;"",F188&lt;&gt;"",F188&lt;E188),"⚠ Fin avant début",IF(COUNTIFS($B$9:$B$208,B188,$C$9:$C$208,C188,$E$9:$E$208,E188)&gt;1,"⚠ Doublon","✓")))</f>
      </c>
    </row>
    <row r="189" ht="21" customHeight="1" spans="2:8" x14ac:dyDescent="0.25">
      <c r="B189" s="46"/>
      <c r="C189" s="46"/>
      <c r="D189" s="47">
        <f>IF(B189="","",IFERROR(INDEX('03 Personnes'!$D$9:$D$158,MATCH(B189,'03 Personnes'!$B$9:$B$158,0)),"—"))</f>
      </c>
      <c r="E189" s="49"/>
      <c r="F189" s="49"/>
      <c r="G189" s="47">
        <f>IF(B189="","",IF(OR(F189="",F189&gt;=TODAY()),"Oui","Non"))</f>
      </c>
      <c r="H189" s="48">
        <f>IF(B189="","",IF(AND(E189&lt;&gt;"",F189&lt;&gt;"",F189&lt;E189),"⚠ Fin avant début",IF(COUNTIFS($B$9:$B$208,B189,$C$9:$C$208,C189,$E$9:$E$208,E189)&gt;1,"⚠ Doublon","✓")))</f>
      </c>
    </row>
    <row r="190" ht="21" customHeight="1" spans="2:8" x14ac:dyDescent="0.25">
      <c r="B190" s="46"/>
      <c r="C190" s="46"/>
      <c r="D190" s="47">
        <f>IF(B190="","",IFERROR(INDEX('03 Personnes'!$D$9:$D$158,MATCH(B190,'03 Personnes'!$B$9:$B$158,0)),"—"))</f>
      </c>
      <c r="E190" s="49"/>
      <c r="F190" s="49"/>
      <c r="G190" s="47">
        <f>IF(B190="","",IF(OR(F190="",F190&gt;=TODAY()),"Oui","Non"))</f>
      </c>
      <c r="H190" s="48">
        <f>IF(B190="","",IF(AND(E190&lt;&gt;"",F190&lt;&gt;"",F190&lt;E190),"⚠ Fin avant début",IF(COUNTIFS($B$9:$B$208,B190,$C$9:$C$208,C190,$E$9:$E$208,E190)&gt;1,"⚠ Doublon","✓")))</f>
      </c>
    </row>
    <row r="191" ht="21" customHeight="1" spans="2:8" x14ac:dyDescent="0.25">
      <c r="B191" s="46"/>
      <c r="C191" s="46"/>
      <c r="D191" s="47">
        <f>IF(B191="","",IFERROR(INDEX('03 Personnes'!$D$9:$D$158,MATCH(B191,'03 Personnes'!$B$9:$B$158,0)),"—"))</f>
      </c>
      <c r="E191" s="49"/>
      <c r="F191" s="49"/>
      <c r="G191" s="47">
        <f>IF(B191="","",IF(OR(F191="",F191&gt;=TODAY()),"Oui","Non"))</f>
      </c>
      <c r="H191" s="48">
        <f>IF(B191="","",IF(AND(E191&lt;&gt;"",F191&lt;&gt;"",F191&lt;E191),"⚠ Fin avant début",IF(COUNTIFS($B$9:$B$208,B191,$C$9:$C$208,C191,$E$9:$E$208,E191)&gt;1,"⚠ Doublon","✓")))</f>
      </c>
    </row>
    <row r="192" ht="21" customHeight="1" spans="2:8" x14ac:dyDescent="0.25">
      <c r="B192" s="46"/>
      <c r="C192" s="46"/>
      <c r="D192" s="47">
        <f>IF(B192="","",IFERROR(INDEX('03 Personnes'!$D$9:$D$158,MATCH(B192,'03 Personnes'!$B$9:$B$158,0)),"—"))</f>
      </c>
      <c r="E192" s="49"/>
      <c r="F192" s="49"/>
      <c r="G192" s="47">
        <f>IF(B192="","",IF(OR(F192="",F192&gt;=TODAY()),"Oui","Non"))</f>
      </c>
      <c r="H192" s="48">
        <f>IF(B192="","",IF(AND(E192&lt;&gt;"",F192&lt;&gt;"",F192&lt;E192),"⚠ Fin avant début",IF(COUNTIFS($B$9:$B$208,B192,$C$9:$C$208,C192,$E$9:$E$208,E192)&gt;1,"⚠ Doublon","✓")))</f>
      </c>
    </row>
    <row r="193" ht="21" customHeight="1" spans="2:8" x14ac:dyDescent="0.25">
      <c r="B193" s="46"/>
      <c r="C193" s="46"/>
      <c r="D193" s="47">
        <f>IF(B193="","",IFERROR(INDEX('03 Personnes'!$D$9:$D$158,MATCH(B193,'03 Personnes'!$B$9:$B$158,0)),"—"))</f>
      </c>
      <c r="E193" s="49"/>
      <c r="F193" s="49"/>
      <c r="G193" s="47">
        <f>IF(B193="","",IF(OR(F193="",F193&gt;=TODAY()),"Oui","Non"))</f>
      </c>
      <c r="H193" s="48">
        <f>IF(B193="","",IF(AND(E193&lt;&gt;"",F193&lt;&gt;"",F193&lt;E193),"⚠ Fin avant début",IF(COUNTIFS($B$9:$B$208,B193,$C$9:$C$208,C193,$E$9:$E$208,E193)&gt;1,"⚠ Doublon","✓")))</f>
      </c>
    </row>
    <row r="194" ht="21" customHeight="1" spans="2:8" x14ac:dyDescent="0.25">
      <c r="B194" s="46"/>
      <c r="C194" s="46"/>
      <c r="D194" s="47">
        <f>IF(B194="","",IFERROR(INDEX('03 Personnes'!$D$9:$D$158,MATCH(B194,'03 Personnes'!$B$9:$B$158,0)),"—"))</f>
      </c>
      <c r="E194" s="49"/>
      <c r="F194" s="49"/>
      <c r="G194" s="47">
        <f>IF(B194="","",IF(OR(F194="",F194&gt;=TODAY()),"Oui","Non"))</f>
      </c>
      <c r="H194" s="48">
        <f>IF(B194="","",IF(AND(E194&lt;&gt;"",F194&lt;&gt;"",F194&lt;E194),"⚠ Fin avant début",IF(COUNTIFS($B$9:$B$208,B194,$C$9:$C$208,C194,$E$9:$E$208,E194)&gt;1,"⚠ Doublon","✓")))</f>
      </c>
    </row>
    <row r="195" ht="21" customHeight="1" spans="2:8" x14ac:dyDescent="0.25">
      <c r="B195" s="46"/>
      <c r="C195" s="46"/>
      <c r="D195" s="47">
        <f>IF(B195="","",IFERROR(INDEX('03 Personnes'!$D$9:$D$158,MATCH(B195,'03 Personnes'!$B$9:$B$158,0)),"—"))</f>
      </c>
      <c r="E195" s="49"/>
      <c r="F195" s="49"/>
      <c r="G195" s="47">
        <f>IF(B195="","",IF(OR(F195="",F195&gt;=TODAY()),"Oui","Non"))</f>
      </c>
      <c r="H195" s="48">
        <f>IF(B195="","",IF(AND(E195&lt;&gt;"",F195&lt;&gt;"",F195&lt;E195),"⚠ Fin avant début",IF(COUNTIFS($B$9:$B$208,B195,$C$9:$C$208,C195,$E$9:$E$208,E195)&gt;1,"⚠ Doublon","✓")))</f>
      </c>
    </row>
    <row r="196" ht="21" customHeight="1" spans="2:8" x14ac:dyDescent="0.25">
      <c r="B196" s="46"/>
      <c r="C196" s="46"/>
      <c r="D196" s="47">
        <f>IF(B196="","",IFERROR(INDEX('03 Personnes'!$D$9:$D$158,MATCH(B196,'03 Personnes'!$B$9:$B$158,0)),"—"))</f>
      </c>
      <c r="E196" s="49"/>
      <c r="F196" s="49"/>
      <c r="G196" s="47">
        <f>IF(B196="","",IF(OR(F196="",F196&gt;=TODAY()),"Oui","Non"))</f>
      </c>
      <c r="H196" s="48">
        <f>IF(B196="","",IF(AND(E196&lt;&gt;"",F196&lt;&gt;"",F196&lt;E196),"⚠ Fin avant début",IF(COUNTIFS($B$9:$B$208,B196,$C$9:$C$208,C196,$E$9:$E$208,E196)&gt;1,"⚠ Doublon","✓")))</f>
      </c>
    </row>
    <row r="197" ht="21" customHeight="1" spans="2:8" x14ac:dyDescent="0.25">
      <c r="B197" s="46"/>
      <c r="C197" s="46"/>
      <c r="D197" s="47">
        <f>IF(B197="","",IFERROR(INDEX('03 Personnes'!$D$9:$D$158,MATCH(B197,'03 Personnes'!$B$9:$B$158,0)),"—"))</f>
      </c>
      <c r="E197" s="49"/>
      <c r="F197" s="49"/>
      <c r="G197" s="47">
        <f>IF(B197="","",IF(OR(F197="",F197&gt;=TODAY()),"Oui","Non"))</f>
      </c>
      <c r="H197" s="48">
        <f>IF(B197="","",IF(AND(E197&lt;&gt;"",F197&lt;&gt;"",F197&lt;E197),"⚠ Fin avant début",IF(COUNTIFS($B$9:$B$208,B197,$C$9:$C$208,C197,$E$9:$E$208,E197)&gt;1,"⚠ Doublon","✓")))</f>
      </c>
    </row>
    <row r="198" ht="21" customHeight="1" spans="2:8" x14ac:dyDescent="0.25">
      <c r="B198" s="46"/>
      <c r="C198" s="46"/>
      <c r="D198" s="47">
        <f>IF(B198="","",IFERROR(INDEX('03 Personnes'!$D$9:$D$158,MATCH(B198,'03 Personnes'!$B$9:$B$158,0)),"—"))</f>
      </c>
      <c r="E198" s="49"/>
      <c r="F198" s="49"/>
      <c r="G198" s="47">
        <f>IF(B198="","",IF(OR(F198="",F198&gt;=TODAY()),"Oui","Non"))</f>
      </c>
      <c r="H198" s="48">
        <f>IF(B198="","",IF(AND(E198&lt;&gt;"",F198&lt;&gt;"",F198&lt;E198),"⚠ Fin avant début",IF(COUNTIFS($B$9:$B$208,B198,$C$9:$C$208,C198,$E$9:$E$208,E198)&gt;1,"⚠ Doublon","✓")))</f>
      </c>
    </row>
    <row r="199" ht="21" customHeight="1" spans="2:8" x14ac:dyDescent="0.25">
      <c r="B199" s="46"/>
      <c r="C199" s="46"/>
      <c r="D199" s="47">
        <f>IF(B199="","",IFERROR(INDEX('03 Personnes'!$D$9:$D$158,MATCH(B199,'03 Personnes'!$B$9:$B$158,0)),"—"))</f>
      </c>
      <c r="E199" s="49"/>
      <c r="F199" s="49"/>
      <c r="G199" s="47">
        <f>IF(B199="","",IF(OR(F199="",F199&gt;=TODAY()),"Oui","Non"))</f>
      </c>
      <c r="H199" s="48">
        <f>IF(B199="","",IF(AND(E199&lt;&gt;"",F199&lt;&gt;"",F199&lt;E199),"⚠ Fin avant début",IF(COUNTIFS($B$9:$B$208,B199,$C$9:$C$208,C199,$E$9:$E$208,E199)&gt;1,"⚠ Doublon","✓")))</f>
      </c>
    </row>
    <row r="200" ht="21" customHeight="1" spans="2:8" x14ac:dyDescent="0.25">
      <c r="B200" s="46"/>
      <c r="C200" s="46"/>
      <c r="D200" s="47">
        <f>IF(B200="","",IFERROR(INDEX('03 Personnes'!$D$9:$D$158,MATCH(B200,'03 Personnes'!$B$9:$B$158,0)),"—"))</f>
      </c>
      <c r="E200" s="49"/>
      <c r="F200" s="49"/>
      <c r="G200" s="47">
        <f>IF(B200="","",IF(OR(F200="",F200&gt;=TODAY()),"Oui","Non"))</f>
      </c>
      <c r="H200" s="48">
        <f>IF(B200="","",IF(AND(E200&lt;&gt;"",F200&lt;&gt;"",F200&lt;E200),"⚠ Fin avant début",IF(COUNTIFS($B$9:$B$208,B200,$C$9:$C$208,C200,$E$9:$E$208,E200)&gt;1,"⚠ Doublon","✓")))</f>
      </c>
    </row>
    <row r="201" ht="21" customHeight="1" spans="2:8" x14ac:dyDescent="0.25">
      <c r="B201" s="46"/>
      <c r="C201" s="46"/>
      <c r="D201" s="47">
        <f>IF(B201="","",IFERROR(INDEX('03 Personnes'!$D$9:$D$158,MATCH(B201,'03 Personnes'!$B$9:$B$158,0)),"—"))</f>
      </c>
      <c r="E201" s="49"/>
      <c r="F201" s="49"/>
      <c r="G201" s="47">
        <f>IF(B201="","",IF(OR(F201="",F201&gt;=TODAY()),"Oui","Non"))</f>
      </c>
      <c r="H201" s="48">
        <f>IF(B201="","",IF(AND(E201&lt;&gt;"",F201&lt;&gt;"",F201&lt;E201),"⚠ Fin avant début",IF(COUNTIFS($B$9:$B$208,B201,$C$9:$C$208,C201,$E$9:$E$208,E201)&gt;1,"⚠ Doublon","✓")))</f>
      </c>
    </row>
    <row r="202" ht="21" customHeight="1" spans="2:8" x14ac:dyDescent="0.25">
      <c r="B202" s="46"/>
      <c r="C202" s="46"/>
      <c r="D202" s="47">
        <f>IF(B202="","",IFERROR(INDEX('03 Personnes'!$D$9:$D$158,MATCH(B202,'03 Personnes'!$B$9:$B$158,0)),"—"))</f>
      </c>
      <c r="E202" s="49"/>
      <c r="F202" s="49"/>
      <c r="G202" s="47">
        <f>IF(B202="","",IF(OR(F202="",F202&gt;=TODAY()),"Oui","Non"))</f>
      </c>
      <c r="H202" s="48">
        <f>IF(B202="","",IF(AND(E202&lt;&gt;"",F202&lt;&gt;"",F202&lt;E202),"⚠ Fin avant début",IF(COUNTIFS($B$9:$B$208,B202,$C$9:$C$208,C202,$E$9:$E$208,E202)&gt;1,"⚠ Doublon","✓")))</f>
      </c>
    </row>
    <row r="203" ht="21" customHeight="1" spans="2:8" x14ac:dyDescent="0.25">
      <c r="B203" s="46"/>
      <c r="C203" s="46"/>
      <c r="D203" s="47">
        <f>IF(B203="","",IFERROR(INDEX('03 Personnes'!$D$9:$D$158,MATCH(B203,'03 Personnes'!$B$9:$B$158,0)),"—"))</f>
      </c>
      <c r="E203" s="49"/>
      <c r="F203" s="49"/>
      <c r="G203" s="47">
        <f>IF(B203="","",IF(OR(F203="",F203&gt;=TODAY()),"Oui","Non"))</f>
      </c>
      <c r="H203" s="48">
        <f>IF(B203="","",IF(AND(E203&lt;&gt;"",F203&lt;&gt;"",F203&lt;E203),"⚠ Fin avant début",IF(COUNTIFS($B$9:$B$208,B203,$C$9:$C$208,C203,$E$9:$E$208,E203)&gt;1,"⚠ Doublon","✓")))</f>
      </c>
    </row>
    <row r="204" ht="21" customHeight="1" spans="2:8" x14ac:dyDescent="0.25">
      <c r="B204" s="46"/>
      <c r="C204" s="46"/>
      <c r="D204" s="47">
        <f>IF(B204="","",IFERROR(INDEX('03 Personnes'!$D$9:$D$158,MATCH(B204,'03 Personnes'!$B$9:$B$158,0)),"—"))</f>
      </c>
      <c r="E204" s="49"/>
      <c r="F204" s="49"/>
      <c r="G204" s="47">
        <f>IF(B204="","",IF(OR(F204="",F204&gt;=TODAY()),"Oui","Non"))</f>
      </c>
      <c r="H204" s="48">
        <f>IF(B204="","",IF(AND(E204&lt;&gt;"",F204&lt;&gt;"",F204&lt;E204),"⚠ Fin avant début",IF(COUNTIFS($B$9:$B$208,B204,$C$9:$C$208,C204,$E$9:$E$208,E204)&gt;1,"⚠ Doublon","✓")))</f>
      </c>
    </row>
    <row r="205" ht="21" customHeight="1" spans="2:8" x14ac:dyDescent="0.25">
      <c r="B205" s="46"/>
      <c r="C205" s="46"/>
      <c r="D205" s="47">
        <f>IF(B205="","",IFERROR(INDEX('03 Personnes'!$D$9:$D$158,MATCH(B205,'03 Personnes'!$B$9:$B$158,0)),"—"))</f>
      </c>
      <c r="E205" s="49"/>
      <c r="F205" s="49"/>
      <c r="G205" s="47">
        <f>IF(B205="","",IF(OR(F205="",F205&gt;=TODAY()),"Oui","Non"))</f>
      </c>
      <c r="H205" s="48">
        <f>IF(B205="","",IF(AND(E205&lt;&gt;"",F205&lt;&gt;"",F205&lt;E205),"⚠ Fin avant début",IF(COUNTIFS($B$9:$B$208,B205,$C$9:$C$208,C205,$E$9:$E$208,E205)&gt;1,"⚠ Doublon","✓")))</f>
      </c>
    </row>
    <row r="206" ht="21" customHeight="1" spans="2:8" x14ac:dyDescent="0.25">
      <c r="B206" s="46"/>
      <c r="C206" s="46"/>
      <c r="D206" s="47">
        <f>IF(B206="","",IFERROR(INDEX('03 Personnes'!$D$9:$D$158,MATCH(B206,'03 Personnes'!$B$9:$B$158,0)),"—"))</f>
      </c>
      <c r="E206" s="49"/>
      <c r="F206" s="49"/>
      <c r="G206" s="47">
        <f>IF(B206="","",IF(OR(F206="",F206&gt;=TODAY()),"Oui","Non"))</f>
      </c>
      <c r="H206" s="48">
        <f>IF(B206="","",IF(AND(E206&lt;&gt;"",F206&lt;&gt;"",F206&lt;E206),"⚠ Fin avant début",IF(COUNTIFS($B$9:$B$208,B206,$C$9:$C$208,C206,$E$9:$E$208,E206)&gt;1,"⚠ Doublon","✓")))</f>
      </c>
    </row>
    <row r="207" ht="21" customHeight="1" spans="2:8" x14ac:dyDescent="0.25">
      <c r="B207" s="46"/>
      <c r="C207" s="46"/>
      <c r="D207" s="47">
        <f>IF(B207="","",IFERROR(INDEX('03 Personnes'!$D$9:$D$158,MATCH(B207,'03 Personnes'!$B$9:$B$158,0)),"—"))</f>
      </c>
      <c r="E207" s="49"/>
      <c r="F207" s="49"/>
      <c r="G207" s="47">
        <f>IF(B207="","",IF(OR(F207="",F207&gt;=TODAY()),"Oui","Non"))</f>
      </c>
      <c r="H207" s="48">
        <f>IF(B207="","",IF(AND(E207&lt;&gt;"",F207&lt;&gt;"",F207&lt;E207),"⚠ Fin avant début",IF(COUNTIFS($B$9:$B$208,B207,$C$9:$C$208,C207,$E$9:$E$208,E207)&gt;1,"⚠ Doublon","✓")))</f>
      </c>
    </row>
    <row r="208" ht="21" customHeight="1" spans="2:8" x14ac:dyDescent="0.25">
      <c r="B208" s="46"/>
      <c r="C208" s="46"/>
      <c r="D208" s="47">
        <f>IF(B208="","",IFERROR(INDEX('03 Personnes'!$D$9:$D$158,MATCH(B208,'03 Personnes'!$B$9:$B$158,0)),"—"))</f>
      </c>
      <c r="E208" s="49"/>
      <c r="F208" s="49"/>
      <c r="G208" s="47">
        <f>IF(B208="","",IF(OR(F208="",F208&gt;=TODAY()),"Oui","Non"))</f>
      </c>
      <c r="H208" s="48">
        <f>IF(B208="","",IF(AND(E208&lt;&gt;"",F208&lt;&gt;"",F208&lt;E208),"⚠ Fin avant début",IF(COUNTIFS($B$9:$B$208,B208,$C$9:$C$208,C208,$E$9:$E$208,E208)&gt;1,"⚠ Doublon","✓")))</f>
      </c>
    </row>
  </sheetData>
  <sheetProtection sheet="1" formatColumns="0" formatRows="0" sort="0" autoFilter="0"/>
  <autoFilter ref="B8:H8"/>
  <conditionalFormatting sqref="B9:B208">
    <cfRule type="expression" dxfId="13" priority="1">
      <formula>AND(OR($B9&lt;&gt;"",$C9&lt;&gt;"",$E9&lt;&gt;"",$F9&lt;&gt;""),B9="")</formula>
    </cfRule>
  </conditionalFormatting>
  <conditionalFormatting sqref="C9:C208">
    <cfRule type="expression" dxfId="14" priority="1">
      <formula>AND(OR($B9&lt;&gt;"",$C9&lt;&gt;"",$E9&lt;&gt;"",$F9&lt;&gt;""),C9="")</formula>
    </cfRule>
  </conditionalFormatting>
  <conditionalFormatting sqref="E9:E208">
    <cfRule type="expression" dxfId="15" priority="1">
      <formula>AND(OR($B9&lt;&gt;"",$C9&lt;&gt;"",$E9&lt;&gt;"",$F9&lt;&gt;""),E9="")</formula>
    </cfRule>
  </conditionalFormatting>
  <conditionalFormatting sqref="H9:H208">
    <cfRule type="containsText" dxfId="16" priority="2">
      <formula>NOT(ISERROR(SEARCH("⚠",H9)))</formula>
    </cfRule>
    <cfRule type="containsText" dxfId="17" priority="3">
      <formula>NOT(ISERROR(SEARCH("◔",H9)))</formula>
    </cfRule>
  </conditionalFormatting>
  <dataValidations count="6">
    <dataValidation type="list" allowBlank="1" showErrorMessage="1" errorStyle="stop" errorTitle="Valeur hors liste" error="Choisissez une valeur dans la liste. Elle se remplit à partir de l’onglet correspondant." sqref="B10:B20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B9:B20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C10:C208">
      <formula1>L_Roles</formula1>
    </dataValidation>
    <dataValidation type="list" allowBlank="1" showErrorMessage="1" errorStyle="stop" errorTitle="Valeur hors liste" error="Choisissez une valeur dans la liste. Elle se remplit à partir de l’onglet correspondant." sqref="C9:C208">
      <formula1>L_Roles</formula1>
    </dataValidation>
    <dataValidation type="date" operator="greaterThan" allowBlank="1" showErrorMessage="1" errorStyle="stop" errorTitle="Date attendue" error="Saisissez une date au format JJ/MM/AAAA." sqref="E10:F208">
      <formula1>36526</formula1>
    </dataValidation>
    <dataValidation type="date" operator="greaterThan" allowBlank="1" showErrorMessage="1" errorStyle="stop" errorTitle="Date attendue" error="Saisissez une date au format JJ/MM/AAAA." sqref="E9:F208">
      <formula1>36526</formula1>
    </dataValidation>
  </dataValidations>
  <hyperlinks>
    <hyperlink ref="H3" r:id="rId1" location="#'Complétude'!A1"/>
  </hyperlinks>
  <pageMargins left="0.4" right="0.4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8F86"/>
    <pageSetUpPr fitToPage="1"/>
  </sheetPr>
  <dimension ref="B1:E2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4" customWidth="1"/>
    <col min="4" max="4" width="54" customWidth="1"/>
    <col min="5" max="5" width="30" customWidth="1"/>
  </cols>
  <sheetData>
    <row r="1" ht="12" customHeight="1" x14ac:dyDescent="0.25"/>
    <row r="2" ht="34" customHeight="1" spans="2:5" x14ac:dyDescent="0.25">
      <c r="B2" s="1" t="s">
        <v>37</v>
      </c>
      <c r="E2" s="38">
        <f>'Complétude'!$I23</f>
      </c>
    </row>
    <row r="3" ht="18" customHeight="1" spans="2:5" x14ac:dyDescent="0.25">
      <c r="B3" s="2" t="s">
        <v>187</v>
      </c>
      <c r="E3" s="39" t="s">
        <v>156</v>
      </c>
    </row>
    <row r="4" ht="18" customHeight="1" spans="2:2" x14ac:dyDescent="0.25">
      <c r="B4" t="s">
        <v>188</v>
      </c>
    </row>
    <row r="5" spans="2:2" x14ac:dyDescent="0.25">
      <c r="B5" s="40" t="s">
        <v>189</v>
      </c>
    </row>
    <row r="7" ht="28" customHeight="1" spans="2:4" x14ac:dyDescent="0.25">
      <c r="B7" s="50" t="s">
        <v>190</v>
      </c>
      <c r="C7" s="51"/>
      <c r="D7" s="51"/>
    </row>
    <row r="8" ht="24" customHeight="1" spans="2:4" x14ac:dyDescent="0.25">
      <c r="B8" s="15" t="s">
        <v>191</v>
      </c>
      <c r="C8" s="52" t="s">
        <v>159</v>
      </c>
      <c r="D8" s="53"/>
    </row>
    <row r="9" ht="24" customHeight="1" spans="2:4" x14ac:dyDescent="0.25">
      <c r="B9" s="15" t="s">
        <v>192</v>
      </c>
      <c r="C9" s="54" t="s">
        <v>160</v>
      </c>
      <c r="D9" s="53"/>
    </row>
    <row r="10" ht="24" customHeight="1" spans="2:4" x14ac:dyDescent="0.25">
      <c r="B10" s="15" t="s">
        <v>193</v>
      </c>
      <c r="C10" s="52" t="s">
        <v>159</v>
      </c>
      <c r="D10" s="53"/>
    </row>
    <row r="11" ht="28" customHeight="1" spans="2:4" x14ac:dyDescent="0.25">
      <c r="B11" s="50" t="s">
        <v>37</v>
      </c>
      <c r="C11" s="51"/>
      <c r="D11" s="51"/>
    </row>
    <row r="12" ht="24" customHeight="1" spans="2:5" x14ac:dyDescent="0.25">
      <c r="B12" s="15" t="s">
        <v>194</v>
      </c>
      <c r="C12" s="52" t="s">
        <v>159</v>
      </c>
      <c r="D12" s="53"/>
      <c r="E12" s="55" t="s">
        <v>195</v>
      </c>
    </row>
    <row r="13" ht="24" customHeight="1" spans="2:4" x14ac:dyDescent="0.25">
      <c r="B13" s="15" t="s">
        <v>196</v>
      </c>
      <c r="C13" s="52" t="s">
        <v>159</v>
      </c>
      <c r="D13" s="53"/>
    </row>
    <row r="14" ht="24" customHeight="1" spans="2:5" x14ac:dyDescent="0.25">
      <c r="B14" s="15" t="s">
        <v>197</v>
      </c>
      <c r="C14" s="54" t="s">
        <v>160</v>
      </c>
      <c r="D14" s="53"/>
      <c r="E14" s="55" t="s">
        <v>198</v>
      </c>
    </row>
    <row r="15" ht="24" customHeight="1" spans="2:5" x14ac:dyDescent="0.25">
      <c r="B15" s="15" t="s">
        <v>199</v>
      </c>
      <c r="C15" s="54" t="s">
        <v>174</v>
      </c>
      <c r="D15" s="53"/>
      <c r="E15" s="55" t="s">
        <v>200</v>
      </c>
    </row>
    <row r="16" ht="24" customHeight="1" spans="2:5" x14ac:dyDescent="0.25">
      <c r="B16" s="15" t="s">
        <v>201</v>
      </c>
      <c r="C16" s="54" t="s">
        <v>174</v>
      </c>
      <c r="D16" s="53"/>
      <c r="E16" s="55" t="s">
        <v>200</v>
      </c>
    </row>
    <row r="17" ht="24" customHeight="1" spans="2:4" x14ac:dyDescent="0.25">
      <c r="B17" s="15" t="s">
        <v>202</v>
      </c>
      <c r="C17" s="52" t="s">
        <v>159</v>
      </c>
      <c r="D17" s="56"/>
    </row>
    <row r="18" ht="24" customHeight="1" spans="2:4" x14ac:dyDescent="0.25">
      <c r="B18" s="15" t="s">
        <v>203</v>
      </c>
      <c r="C18" s="52" t="s">
        <v>159</v>
      </c>
      <c r="D18" s="56"/>
    </row>
    <row r="19" ht="24" customHeight="1" spans="2:4" x14ac:dyDescent="0.25">
      <c r="B19" s="15" t="s">
        <v>204</v>
      </c>
      <c r="C19" s="52" t="s">
        <v>173</v>
      </c>
      <c r="D19" s="53"/>
    </row>
    <row r="20" ht="24" customHeight="1" spans="2:4" x14ac:dyDescent="0.25">
      <c r="B20" s="15" t="s">
        <v>19</v>
      </c>
      <c r="C20" s="54" t="s">
        <v>174</v>
      </c>
      <c r="D20" s="53"/>
    </row>
    <row r="21" ht="24" customHeight="1" spans="2:4" x14ac:dyDescent="0.25">
      <c r="B21" s="15" t="s">
        <v>205</v>
      </c>
      <c r="C21" s="52" t="s">
        <v>173</v>
      </c>
      <c r="D21" s="53"/>
    </row>
    <row r="22" ht="24" customHeight="1" spans="2:4" x14ac:dyDescent="0.25">
      <c r="B22" s="15" t="s">
        <v>206</v>
      </c>
      <c r="C22" s="54" t="s">
        <v>174</v>
      </c>
      <c r="D22" s="53"/>
    </row>
    <row r="24" spans="4:4" x14ac:dyDescent="0.25">
      <c r="D24" s="57">
        <f>IF(OR(D17="",D18=""),"",IF(D18&lt;D17,"⚠ Fin cible avant démarrage","✓ Dates cohérentes"))</f>
      </c>
    </row>
  </sheetData>
  <sheetProtection sheet="1" formatColumns="0" formatRows="0"/>
  <conditionalFormatting sqref="D8">
    <cfRule type="expression" dxfId="18" priority="1">
      <formula>D8=""</formula>
    </cfRule>
  </conditionalFormatting>
  <conditionalFormatting sqref="D10">
    <cfRule type="expression" dxfId="19" priority="1">
      <formula>D10=""</formula>
    </cfRule>
  </conditionalFormatting>
  <conditionalFormatting sqref="D12">
    <cfRule type="expression" dxfId="20" priority="1">
      <formula>D12=""</formula>
    </cfRule>
  </conditionalFormatting>
  <conditionalFormatting sqref="D13">
    <cfRule type="expression" dxfId="21" priority="1">
      <formula>D13=""</formula>
    </cfRule>
  </conditionalFormatting>
  <conditionalFormatting sqref="D17">
    <cfRule type="expression" dxfId="22" priority="1">
      <formula>D17=""</formula>
    </cfRule>
  </conditionalFormatting>
  <conditionalFormatting sqref="D18">
    <cfRule type="expression" dxfId="23" priority="1">
      <formula>D18=""</formula>
    </cfRule>
  </conditionalFormatting>
  <conditionalFormatting sqref="D19">
    <cfRule type="expression" dxfId="24" priority="1">
      <formula>D19=""</formula>
    </cfRule>
  </conditionalFormatting>
  <conditionalFormatting sqref="D21">
    <cfRule type="expression" dxfId="25" priority="1">
      <formula>D21=""</formula>
    </cfRule>
  </conditionalFormatting>
  <conditionalFormatting sqref="D24">
    <cfRule type="containsText" dxfId="26" priority="2">
      <formula>NOT(ISERROR(SEARCH("⚠",D24)))</formula>
    </cfRule>
  </conditionalFormatting>
  <dataValidations count="5">
    <dataValidation type="list" allowBlank="1" showErrorMessage="1" errorTitle="Valeur hors liste" error="Choisissez une valeur dans la liste." sqref="D15:D16">
      <formula1>L_Equipes</formula1>
    </dataValidation>
    <dataValidation type="date" operator="greaterThan" allowBlank="1" showErrorMessage="1" errorTitle="Date attendue" error="Saisissez une date au format JJ/MM/AAAA." sqref="D17:D18">
      <formula1>36526</formula1>
    </dataValidation>
    <dataValidation type="list" allowBlank="1" showErrorMessage="1" errorTitle="Valeur hors liste" error="Choisissez une valeur dans la liste." sqref="D19">
      <formula1>L_Fuseau</formula1>
    </dataValidation>
    <dataValidation type="list" allowBlank="1" showErrorMessage="1" errorTitle="Valeur hors liste" error="Choisissez une valeur dans la liste." sqref="D20">
      <formula1>L_StatutProjet</formula1>
    </dataValidation>
    <dataValidation type="list" allowBlank="1" showErrorMessage="1" errorTitle="Valeur hors liste" error="Choisissez une valeur dans la liste." sqref="D21:D22">
      <formula1>L_Personnes</formula1>
    </dataValidation>
  </dataValidations>
  <hyperlinks>
    <hyperlink ref="E3" r:id="rId1" location="#'Complétude'!A1"/>
  </hyperlinks>
  <pageMargins left="0.4" right="0.4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8F86"/>
    <pageSetUpPr fitToPage="1"/>
  </sheetPr>
  <dimension ref="B1:I3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7" customWidth="1"/>
    <col min="4" max="4" width="44" customWidth="1"/>
    <col min="5" max="6" width="13" customWidth="1"/>
    <col min="7" max="7" width="14" customWidth="1"/>
    <col min="8" max="9" width="24" customWidth="1"/>
  </cols>
  <sheetData>
    <row r="1" ht="12" customHeight="1" x14ac:dyDescent="0.25"/>
    <row r="2" ht="34" customHeight="1" spans="2:9" x14ac:dyDescent="0.25">
      <c r="B2" s="1" t="s">
        <v>41</v>
      </c>
      <c r="I2" s="38">
        <f>'Complétude'!$I24</f>
      </c>
    </row>
    <row r="3" ht="18" customHeight="1" spans="2:9" x14ac:dyDescent="0.25">
      <c r="B3" s="2" t="s">
        <v>207</v>
      </c>
      <c r="I3" s="39" t="s">
        <v>156</v>
      </c>
    </row>
    <row r="4" ht="18" customHeight="1" spans="2:2" x14ac:dyDescent="0.25">
      <c r="B4" t="s">
        <v>208</v>
      </c>
    </row>
    <row r="5" ht="16" customHeight="1" spans="2:2" x14ac:dyDescent="0.25">
      <c r="B5" s="40" t="s">
        <v>209</v>
      </c>
    </row>
    <row r="6" ht="10" customHeight="1" x14ac:dyDescent="0.25"/>
    <row r="7" ht="15" customHeight="1" spans="2:9" x14ac:dyDescent="0.25">
      <c r="B7" s="43" t="s">
        <v>161</v>
      </c>
      <c r="C7" s="41" t="s">
        <v>159</v>
      </c>
      <c r="D7" s="41" t="s">
        <v>159</v>
      </c>
      <c r="E7" s="41" t="s">
        <v>159</v>
      </c>
      <c r="F7" s="41" t="s">
        <v>159</v>
      </c>
      <c r="G7" s="42" t="s">
        <v>174</v>
      </c>
      <c r="H7" s="42" t="s">
        <v>174</v>
      </c>
      <c r="I7" s="43" t="s">
        <v>162</v>
      </c>
    </row>
    <row r="8" ht="26" customHeight="1" spans="2:9" x14ac:dyDescent="0.25">
      <c r="B8" s="45" t="s">
        <v>144</v>
      </c>
      <c r="C8" s="44" t="s">
        <v>210</v>
      </c>
      <c r="D8" s="44" t="s">
        <v>211</v>
      </c>
      <c r="E8" s="44" t="s">
        <v>184</v>
      </c>
      <c r="F8" s="44" t="s">
        <v>185</v>
      </c>
      <c r="G8" s="44" t="s">
        <v>19</v>
      </c>
      <c r="H8" s="44" t="s">
        <v>212</v>
      </c>
      <c r="I8" s="45" t="s">
        <v>150</v>
      </c>
    </row>
    <row r="9" ht="21" customHeight="1" spans="2:9" x14ac:dyDescent="0.25">
      <c r="B9" s="47">
        <f>IF(C9="","","Lot "&amp;C9)</f>
      </c>
      <c r="C9" s="58"/>
      <c r="D9" s="46"/>
      <c r="E9" s="49"/>
      <c r="F9" s="49"/>
      <c r="G9" s="46"/>
      <c r="H9" s="46"/>
      <c r="I9" s="48">
        <f>IF(C9="","",IF(COUNTIF($C$9:$C$38,C9)&gt;1,"⚠ N° en double",IF(AND(E9&lt;&gt;"",F9&lt;&gt;"",F9&lt;E9),"⚠ Fin avant début","✓")))</f>
      </c>
    </row>
    <row r="10" ht="21" customHeight="1" spans="2:9" x14ac:dyDescent="0.25">
      <c r="B10" s="47">
        <f>IF(C10="","","Lot "&amp;C10)</f>
      </c>
      <c r="C10" s="58"/>
      <c r="D10" s="46"/>
      <c r="E10" s="49"/>
      <c r="F10" s="49"/>
      <c r="G10" s="46"/>
      <c r="H10" s="46"/>
      <c r="I10" s="48">
        <f>IF(C10="","",IF(COUNTIF($C$9:$C$38,C10)&gt;1,"⚠ N° en double",IF(AND(E10&lt;&gt;"",F10&lt;&gt;"",F10&lt;E10),"⚠ Fin avant début","✓")))</f>
      </c>
    </row>
    <row r="11" ht="21" customHeight="1" spans="2:9" x14ac:dyDescent="0.25">
      <c r="B11" s="47">
        <f>IF(C11="","","Lot "&amp;C11)</f>
      </c>
      <c r="C11" s="58"/>
      <c r="D11" s="46"/>
      <c r="E11" s="49"/>
      <c r="F11" s="49"/>
      <c r="G11" s="46"/>
      <c r="H11" s="46"/>
      <c r="I11" s="48">
        <f>IF(C11="","",IF(COUNTIF($C$9:$C$38,C11)&gt;1,"⚠ N° en double",IF(AND(E11&lt;&gt;"",F11&lt;&gt;"",F11&lt;E11),"⚠ Fin avant début","✓")))</f>
      </c>
    </row>
    <row r="12" ht="21" customHeight="1" spans="2:9" x14ac:dyDescent="0.25">
      <c r="B12" s="47">
        <f>IF(C12="","","Lot "&amp;C12)</f>
      </c>
      <c r="C12" s="58"/>
      <c r="D12" s="46"/>
      <c r="E12" s="49"/>
      <c r="F12" s="49"/>
      <c r="G12" s="46"/>
      <c r="H12" s="46"/>
      <c r="I12" s="48">
        <f>IF(C12="","",IF(COUNTIF($C$9:$C$38,C12)&gt;1,"⚠ N° en double",IF(AND(E12&lt;&gt;"",F12&lt;&gt;"",F12&lt;E12),"⚠ Fin avant début","✓")))</f>
      </c>
    </row>
    <row r="13" ht="21" customHeight="1" spans="2:9" x14ac:dyDescent="0.25">
      <c r="B13" s="47">
        <f>IF(C13="","","Lot "&amp;C13)</f>
      </c>
      <c r="C13" s="58"/>
      <c r="D13" s="46"/>
      <c r="E13" s="49"/>
      <c r="F13" s="49"/>
      <c r="G13" s="46"/>
      <c r="H13" s="46"/>
      <c r="I13" s="48">
        <f>IF(C13="","",IF(COUNTIF($C$9:$C$38,C13)&gt;1,"⚠ N° en double",IF(AND(E13&lt;&gt;"",F13&lt;&gt;"",F13&lt;E13),"⚠ Fin avant début","✓")))</f>
      </c>
    </row>
    <row r="14" ht="21" customHeight="1" spans="2:9" x14ac:dyDescent="0.25">
      <c r="B14" s="47">
        <f>IF(C14="","","Lot "&amp;C14)</f>
      </c>
      <c r="C14" s="58"/>
      <c r="D14" s="46"/>
      <c r="E14" s="49"/>
      <c r="F14" s="49"/>
      <c r="G14" s="46"/>
      <c r="H14" s="46"/>
      <c r="I14" s="48">
        <f>IF(C14="","",IF(COUNTIF($C$9:$C$38,C14)&gt;1,"⚠ N° en double",IF(AND(E14&lt;&gt;"",F14&lt;&gt;"",F14&lt;E14),"⚠ Fin avant début","✓")))</f>
      </c>
    </row>
    <row r="15" ht="21" customHeight="1" spans="2:9" x14ac:dyDescent="0.25">
      <c r="B15" s="47">
        <f>IF(C15="","","Lot "&amp;C15)</f>
      </c>
      <c r="C15" s="58"/>
      <c r="D15" s="46"/>
      <c r="E15" s="49"/>
      <c r="F15" s="49"/>
      <c r="G15" s="46"/>
      <c r="H15" s="46"/>
      <c r="I15" s="48">
        <f>IF(C15="","",IF(COUNTIF($C$9:$C$38,C15)&gt;1,"⚠ N° en double",IF(AND(E15&lt;&gt;"",F15&lt;&gt;"",F15&lt;E15),"⚠ Fin avant début","✓")))</f>
      </c>
    </row>
    <row r="16" ht="21" customHeight="1" spans="2:9" x14ac:dyDescent="0.25">
      <c r="B16" s="47">
        <f>IF(C16="","","Lot "&amp;C16)</f>
      </c>
      <c r="C16" s="58"/>
      <c r="D16" s="46"/>
      <c r="E16" s="49"/>
      <c r="F16" s="49"/>
      <c r="G16" s="46"/>
      <c r="H16" s="46"/>
      <c r="I16" s="48">
        <f>IF(C16="","",IF(COUNTIF($C$9:$C$38,C16)&gt;1,"⚠ N° en double",IF(AND(E16&lt;&gt;"",F16&lt;&gt;"",F16&lt;E16),"⚠ Fin avant début","✓")))</f>
      </c>
    </row>
    <row r="17" ht="21" customHeight="1" spans="2:9" x14ac:dyDescent="0.25">
      <c r="B17" s="47">
        <f>IF(C17="","","Lot "&amp;C17)</f>
      </c>
      <c r="C17" s="58"/>
      <c r="D17" s="46"/>
      <c r="E17" s="49"/>
      <c r="F17" s="49"/>
      <c r="G17" s="46"/>
      <c r="H17" s="46"/>
      <c r="I17" s="48">
        <f>IF(C17="","",IF(COUNTIF($C$9:$C$38,C17)&gt;1,"⚠ N° en double",IF(AND(E17&lt;&gt;"",F17&lt;&gt;"",F17&lt;E17),"⚠ Fin avant début","✓")))</f>
      </c>
    </row>
    <row r="18" ht="21" customHeight="1" spans="2:9" x14ac:dyDescent="0.25">
      <c r="B18" s="47">
        <f>IF(C18="","","Lot "&amp;C18)</f>
      </c>
      <c r="C18" s="58"/>
      <c r="D18" s="46"/>
      <c r="E18" s="49"/>
      <c r="F18" s="49"/>
      <c r="G18" s="46"/>
      <c r="H18" s="46"/>
      <c r="I18" s="48">
        <f>IF(C18="","",IF(COUNTIF($C$9:$C$38,C18)&gt;1,"⚠ N° en double",IF(AND(E18&lt;&gt;"",F18&lt;&gt;"",F18&lt;E18),"⚠ Fin avant début","✓")))</f>
      </c>
    </row>
    <row r="19" ht="21" customHeight="1" spans="2:9" x14ac:dyDescent="0.25">
      <c r="B19" s="47">
        <f>IF(C19="","","Lot "&amp;C19)</f>
      </c>
      <c r="C19" s="58"/>
      <c r="D19" s="46"/>
      <c r="E19" s="49"/>
      <c r="F19" s="49"/>
      <c r="G19" s="46"/>
      <c r="H19" s="46"/>
      <c r="I19" s="48">
        <f>IF(C19="","",IF(COUNTIF($C$9:$C$38,C19)&gt;1,"⚠ N° en double",IF(AND(E19&lt;&gt;"",F19&lt;&gt;"",F19&lt;E19),"⚠ Fin avant début","✓")))</f>
      </c>
    </row>
    <row r="20" ht="21" customHeight="1" spans="2:9" x14ac:dyDescent="0.25">
      <c r="B20" s="47">
        <f>IF(C20="","","Lot "&amp;C20)</f>
      </c>
      <c r="C20" s="58"/>
      <c r="D20" s="46"/>
      <c r="E20" s="49"/>
      <c r="F20" s="49"/>
      <c r="G20" s="46"/>
      <c r="H20" s="46"/>
      <c r="I20" s="48">
        <f>IF(C20="","",IF(COUNTIF($C$9:$C$38,C20)&gt;1,"⚠ N° en double",IF(AND(E20&lt;&gt;"",F20&lt;&gt;"",F20&lt;E20),"⚠ Fin avant début","✓")))</f>
      </c>
    </row>
    <row r="21" ht="21" customHeight="1" spans="2:9" x14ac:dyDescent="0.25">
      <c r="B21" s="47">
        <f>IF(C21="","","Lot "&amp;C21)</f>
      </c>
      <c r="C21" s="58"/>
      <c r="D21" s="46"/>
      <c r="E21" s="49"/>
      <c r="F21" s="49"/>
      <c r="G21" s="46"/>
      <c r="H21" s="46"/>
      <c r="I21" s="48">
        <f>IF(C21="","",IF(COUNTIF($C$9:$C$38,C21)&gt;1,"⚠ N° en double",IF(AND(E21&lt;&gt;"",F21&lt;&gt;"",F21&lt;E21),"⚠ Fin avant début","✓")))</f>
      </c>
    </row>
    <row r="22" ht="21" customHeight="1" spans="2:9" x14ac:dyDescent="0.25">
      <c r="B22" s="47">
        <f>IF(C22="","","Lot "&amp;C22)</f>
      </c>
      <c r="C22" s="58"/>
      <c r="D22" s="46"/>
      <c r="E22" s="49"/>
      <c r="F22" s="49"/>
      <c r="G22" s="46"/>
      <c r="H22" s="46"/>
      <c r="I22" s="48">
        <f>IF(C22="","",IF(COUNTIF($C$9:$C$38,C22)&gt;1,"⚠ N° en double",IF(AND(E22&lt;&gt;"",F22&lt;&gt;"",F22&lt;E22),"⚠ Fin avant début","✓")))</f>
      </c>
    </row>
    <row r="23" ht="21" customHeight="1" spans="2:9" x14ac:dyDescent="0.25">
      <c r="B23" s="47">
        <f>IF(C23="","","Lot "&amp;C23)</f>
      </c>
      <c r="C23" s="58"/>
      <c r="D23" s="46"/>
      <c r="E23" s="49"/>
      <c r="F23" s="49"/>
      <c r="G23" s="46"/>
      <c r="H23" s="46"/>
      <c r="I23" s="48">
        <f>IF(C23="","",IF(COUNTIF($C$9:$C$38,C23)&gt;1,"⚠ N° en double",IF(AND(E23&lt;&gt;"",F23&lt;&gt;"",F23&lt;E23),"⚠ Fin avant début","✓")))</f>
      </c>
    </row>
    <row r="24" ht="21" customHeight="1" spans="2:9" x14ac:dyDescent="0.25">
      <c r="B24" s="47">
        <f>IF(C24="","","Lot "&amp;C24)</f>
      </c>
      <c r="C24" s="58"/>
      <c r="D24" s="46"/>
      <c r="E24" s="49"/>
      <c r="F24" s="49"/>
      <c r="G24" s="46"/>
      <c r="H24" s="46"/>
      <c r="I24" s="48">
        <f>IF(C24="","",IF(COUNTIF($C$9:$C$38,C24)&gt;1,"⚠ N° en double",IF(AND(E24&lt;&gt;"",F24&lt;&gt;"",F24&lt;E24),"⚠ Fin avant début","✓")))</f>
      </c>
    </row>
    <row r="25" ht="21" customHeight="1" spans="2:9" x14ac:dyDescent="0.25">
      <c r="B25" s="47">
        <f>IF(C25="","","Lot "&amp;C25)</f>
      </c>
      <c r="C25" s="58"/>
      <c r="D25" s="46"/>
      <c r="E25" s="49"/>
      <c r="F25" s="49"/>
      <c r="G25" s="46"/>
      <c r="H25" s="46"/>
      <c r="I25" s="48">
        <f>IF(C25="","",IF(COUNTIF($C$9:$C$38,C25)&gt;1,"⚠ N° en double",IF(AND(E25&lt;&gt;"",F25&lt;&gt;"",F25&lt;E25),"⚠ Fin avant début","✓")))</f>
      </c>
    </row>
    <row r="26" ht="21" customHeight="1" spans="2:9" x14ac:dyDescent="0.25">
      <c r="B26" s="47">
        <f>IF(C26="","","Lot "&amp;C26)</f>
      </c>
      <c r="C26" s="58"/>
      <c r="D26" s="46"/>
      <c r="E26" s="49"/>
      <c r="F26" s="49"/>
      <c r="G26" s="46"/>
      <c r="H26" s="46"/>
      <c r="I26" s="48">
        <f>IF(C26="","",IF(COUNTIF($C$9:$C$38,C26)&gt;1,"⚠ N° en double",IF(AND(E26&lt;&gt;"",F26&lt;&gt;"",F26&lt;E26),"⚠ Fin avant début","✓")))</f>
      </c>
    </row>
    <row r="27" ht="21" customHeight="1" spans="2:9" x14ac:dyDescent="0.25">
      <c r="B27" s="47">
        <f>IF(C27="","","Lot "&amp;C27)</f>
      </c>
      <c r="C27" s="58"/>
      <c r="D27" s="46"/>
      <c r="E27" s="49"/>
      <c r="F27" s="49"/>
      <c r="G27" s="46"/>
      <c r="H27" s="46"/>
      <c r="I27" s="48">
        <f>IF(C27="","",IF(COUNTIF($C$9:$C$38,C27)&gt;1,"⚠ N° en double",IF(AND(E27&lt;&gt;"",F27&lt;&gt;"",F27&lt;E27),"⚠ Fin avant début","✓")))</f>
      </c>
    </row>
    <row r="28" ht="21" customHeight="1" spans="2:9" x14ac:dyDescent="0.25">
      <c r="B28" s="47">
        <f>IF(C28="","","Lot "&amp;C28)</f>
      </c>
      <c r="C28" s="58"/>
      <c r="D28" s="46"/>
      <c r="E28" s="49"/>
      <c r="F28" s="49"/>
      <c r="G28" s="46"/>
      <c r="H28" s="46"/>
      <c r="I28" s="48">
        <f>IF(C28="","",IF(COUNTIF($C$9:$C$38,C28)&gt;1,"⚠ N° en double",IF(AND(E28&lt;&gt;"",F28&lt;&gt;"",F28&lt;E28),"⚠ Fin avant début","✓")))</f>
      </c>
    </row>
    <row r="29" ht="21" customHeight="1" spans="2:9" x14ac:dyDescent="0.25">
      <c r="B29" s="47">
        <f>IF(C29="","","Lot "&amp;C29)</f>
      </c>
      <c r="C29" s="58"/>
      <c r="D29" s="46"/>
      <c r="E29" s="49"/>
      <c r="F29" s="49"/>
      <c r="G29" s="46"/>
      <c r="H29" s="46"/>
      <c r="I29" s="48">
        <f>IF(C29="","",IF(COUNTIF($C$9:$C$38,C29)&gt;1,"⚠ N° en double",IF(AND(E29&lt;&gt;"",F29&lt;&gt;"",F29&lt;E29),"⚠ Fin avant début","✓")))</f>
      </c>
    </row>
    <row r="30" ht="21" customHeight="1" spans="2:9" x14ac:dyDescent="0.25">
      <c r="B30" s="47">
        <f>IF(C30="","","Lot "&amp;C30)</f>
      </c>
      <c r="C30" s="58"/>
      <c r="D30" s="46"/>
      <c r="E30" s="49"/>
      <c r="F30" s="49"/>
      <c r="G30" s="46"/>
      <c r="H30" s="46"/>
      <c r="I30" s="48">
        <f>IF(C30="","",IF(COUNTIF($C$9:$C$38,C30)&gt;1,"⚠ N° en double",IF(AND(E30&lt;&gt;"",F30&lt;&gt;"",F30&lt;E30),"⚠ Fin avant début","✓")))</f>
      </c>
    </row>
    <row r="31" ht="21" customHeight="1" spans="2:9" x14ac:dyDescent="0.25">
      <c r="B31" s="47">
        <f>IF(C31="","","Lot "&amp;C31)</f>
      </c>
      <c r="C31" s="58"/>
      <c r="D31" s="46"/>
      <c r="E31" s="49"/>
      <c r="F31" s="49"/>
      <c r="G31" s="46"/>
      <c r="H31" s="46"/>
      <c r="I31" s="48">
        <f>IF(C31="","",IF(COUNTIF($C$9:$C$38,C31)&gt;1,"⚠ N° en double",IF(AND(E31&lt;&gt;"",F31&lt;&gt;"",F31&lt;E31),"⚠ Fin avant début","✓")))</f>
      </c>
    </row>
    <row r="32" ht="21" customHeight="1" spans="2:9" x14ac:dyDescent="0.25">
      <c r="B32" s="47">
        <f>IF(C32="","","Lot "&amp;C32)</f>
      </c>
      <c r="C32" s="58"/>
      <c r="D32" s="46"/>
      <c r="E32" s="49"/>
      <c r="F32" s="49"/>
      <c r="G32" s="46"/>
      <c r="H32" s="46"/>
      <c r="I32" s="48">
        <f>IF(C32="","",IF(COUNTIF($C$9:$C$38,C32)&gt;1,"⚠ N° en double",IF(AND(E32&lt;&gt;"",F32&lt;&gt;"",F32&lt;E32),"⚠ Fin avant début","✓")))</f>
      </c>
    </row>
    <row r="33" ht="21" customHeight="1" spans="2:9" x14ac:dyDescent="0.25">
      <c r="B33" s="47">
        <f>IF(C33="","","Lot "&amp;C33)</f>
      </c>
      <c r="C33" s="58"/>
      <c r="D33" s="46"/>
      <c r="E33" s="49"/>
      <c r="F33" s="49"/>
      <c r="G33" s="46"/>
      <c r="H33" s="46"/>
      <c r="I33" s="48">
        <f>IF(C33="","",IF(COUNTIF($C$9:$C$38,C33)&gt;1,"⚠ N° en double",IF(AND(E33&lt;&gt;"",F33&lt;&gt;"",F33&lt;E33),"⚠ Fin avant début","✓")))</f>
      </c>
    </row>
    <row r="34" ht="21" customHeight="1" spans="2:9" x14ac:dyDescent="0.25">
      <c r="B34" s="47">
        <f>IF(C34="","","Lot "&amp;C34)</f>
      </c>
      <c r="C34" s="58"/>
      <c r="D34" s="46"/>
      <c r="E34" s="49"/>
      <c r="F34" s="49"/>
      <c r="G34" s="46"/>
      <c r="H34" s="46"/>
      <c r="I34" s="48">
        <f>IF(C34="","",IF(COUNTIF($C$9:$C$38,C34)&gt;1,"⚠ N° en double",IF(AND(E34&lt;&gt;"",F34&lt;&gt;"",F34&lt;E34),"⚠ Fin avant début","✓")))</f>
      </c>
    </row>
    <row r="35" ht="21" customHeight="1" spans="2:9" x14ac:dyDescent="0.25">
      <c r="B35" s="47">
        <f>IF(C35="","","Lot "&amp;C35)</f>
      </c>
      <c r="C35" s="58"/>
      <c r="D35" s="46"/>
      <c r="E35" s="49"/>
      <c r="F35" s="49"/>
      <c r="G35" s="46"/>
      <c r="H35" s="46"/>
      <c r="I35" s="48">
        <f>IF(C35="","",IF(COUNTIF($C$9:$C$38,C35)&gt;1,"⚠ N° en double",IF(AND(E35&lt;&gt;"",F35&lt;&gt;"",F35&lt;E35),"⚠ Fin avant début","✓")))</f>
      </c>
    </row>
    <row r="36" ht="21" customHeight="1" spans="2:9" x14ac:dyDescent="0.25">
      <c r="B36" s="47">
        <f>IF(C36="","","Lot "&amp;C36)</f>
      </c>
      <c r="C36" s="58"/>
      <c r="D36" s="46"/>
      <c r="E36" s="49"/>
      <c r="F36" s="49"/>
      <c r="G36" s="46"/>
      <c r="H36" s="46"/>
      <c r="I36" s="48">
        <f>IF(C36="","",IF(COUNTIF($C$9:$C$38,C36)&gt;1,"⚠ N° en double",IF(AND(E36&lt;&gt;"",F36&lt;&gt;"",F36&lt;E36),"⚠ Fin avant début","✓")))</f>
      </c>
    </row>
    <row r="37" ht="21" customHeight="1" spans="2:9" x14ac:dyDescent="0.25">
      <c r="B37" s="47">
        <f>IF(C37="","","Lot "&amp;C37)</f>
      </c>
      <c r="C37" s="58"/>
      <c r="D37" s="46"/>
      <c r="E37" s="49"/>
      <c r="F37" s="49"/>
      <c r="G37" s="46"/>
      <c r="H37" s="46"/>
      <c r="I37" s="48">
        <f>IF(C37="","",IF(COUNTIF($C$9:$C$38,C37)&gt;1,"⚠ N° en double",IF(AND(E37&lt;&gt;"",F37&lt;&gt;"",F37&lt;E37),"⚠ Fin avant début","✓")))</f>
      </c>
    </row>
    <row r="38" ht="21" customHeight="1" spans="2:9" x14ac:dyDescent="0.25">
      <c r="B38" s="47">
        <f>IF(C38="","","Lot "&amp;C38)</f>
      </c>
      <c r="C38" s="58"/>
      <c r="D38" s="46"/>
      <c r="E38" s="49"/>
      <c r="F38" s="49"/>
      <c r="G38" s="46"/>
      <c r="H38" s="46"/>
      <c r="I38" s="48">
        <f>IF(C38="","",IF(COUNTIF($C$9:$C$38,C38)&gt;1,"⚠ N° en double",IF(AND(E38&lt;&gt;"",F38&lt;&gt;"",F38&lt;E38),"⚠ Fin avant début","✓")))</f>
      </c>
    </row>
  </sheetData>
  <sheetProtection sheet="1" formatColumns="0" formatRows="0" sort="0" autoFilter="0"/>
  <autoFilter ref="B8:I8"/>
  <conditionalFormatting sqref="C9:C38">
    <cfRule type="expression" dxfId="27" priority="1">
      <formula>AND(OR($C9&lt;&gt;"",$D9&lt;&gt;"",$E9&lt;&gt;"",$F9&lt;&gt;"",$G9&lt;&gt;"",$H9&lt;&gt;""),C9="")</formula>
    </cfRule>
  </conditionalFormatting>
  <conditionalFormatting sqref="D9:D38">
    <cfRule type="expression" dxfId="28" priority="1">
      <formula>AND(OR($C9&lt;&gt;"",$D9&lt;&gt;"",$E9&lt;&gt;"",$F9&lt;&gt;"",$G9&lt;&gt;"",$H9&lt;&gt;""),D9="")</formula>
    </cfRule>
  </conditionalFormatting>
  <conditionalFormatting sqref="E9:E38">
    <cfRule type="expression" dxfId="29" priority="1">
      <formula>AND(OR($C9&lt;&gt;"",$D9&lt;&gt;"",$E9&lt;&gt;"",$F9&lt;&gt;"",$G9&lt;&gt;"",$H9&lt;&gt;""),E9="")</formula>
    </cfRule>
  </conditionalFormatting>
  <conditionalFormatting sqref="F9:F38">
    <cfRule type="expression" dxfId="30" priority="1">
      <formula>AND(OR($C9&lt;&gt;"",$D9&lt;&gt;"",$E9&lt;&gt;"",$F9&lt;&gt;"",$G9&lt;&gt;"",$H9&lt;&gt;""),F9="")</formula>
    </cfRule>
  </conditionalFormatting>
  <conditionalFormatting sqref="I9:I38">
    <cfRule type="containsText" dxfId="31" priority="2">
      <formula>NOT(ISERROR(SEARCH("⚠",I9)))</formula>
    </cfRule>
    <cfRule type="containsText" dxfId="32" priority="3">
      <formula>NOT(ISERROR(SEARCH("◔",I9)))</formula>
    </cfRule>
  </conditionalFormatting>
  <dataValidations count="8">
    <dataValidation type="whole" allowBlank="1" showErrorMessage="1" errorTitle="Numéro attendu" error="Saisissez un nombre entier entre 1 et 99." sqref="C10:C38">
      <formula1>1</formula1>
      <formula2>99</formula2>
    </dataValidation>
    <dataValidation type="whole" allowBlank="1" showErrorMessage="1" errorTitle="Numéro attendu" error="Saisissez un nombre entier entre 1 et 99." sqref="C9:C38">
      <formula1>1</formula1>
      <formula2>99</formula2>
    </dataValidation>
    <dataValidation type="date" operator="greaterThan" allowBlank="1" showErrorMessage="1" errorStyle="stop" errorTitle="Date attendue" error="Saisissez une date au format JJ/MM/AAAA." sqref="E10:F38">
      <formula1>36526</formula1>
    </dataValidation>
    <dataValidation type="date" operator="greaterThan" allowBlank="1" showErrorMessage="1" errorStyle="stop" errorTitle="Date attendue" error="Saisissez une date au format JJ/MM/AAAA." sqref="E9:F38">
      <formula1>36526</formula1>
    </dataValidation>
    <dataValidation type="list" allowBlank="1" showErrorMessage="1" errorStyle="stop" errorTitle="Valeur hors liste" error="Choisissez une valeur dans la liste. Elle se remplit à partir de l’onglet correspondant." sqref="G10:G38">
      <formula1>L_StatutLot</formula1>
    </dataValidation>
    <dataValidation type="list" allowBlank="1" showErrorMessage="1" errorStyle="stop" errorTitle="Valeur hors liste" error="Choisissez une valeur dans la liste. Elle se remplit à partir de l’onglet correspondant." sqref="G9:G38">
      <formula1>L_StatutLot</formula1>
    </dataValidation>
    <dataValidation type="list" allowBlank="1" showErrorMessage="1" errorStyle="stop" errorTitle="Valeur hors liste" error="Choisissez une valeur dans la liste. Elle se remplit à partir de l’onglet correspondant." sqref="H10:H3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H9:H38">
      <formula1>L_Personnes</formula1>
    </dataValidation>
  </dataValidations>
  <hyperlinks>
    <hyperlink ref="I3" r:id="rId1" location="#'Complétude'!A1"/>
  </hyperlinks>
  <pageMargins left="0.4" right="0.4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8F86"/>
    <pageSetUpPr fitToPage="1"/>
  </sheetPr>
  <dimension ref="B1:J3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6" customWidth="1"/>
    <col min="3" max="3" width="7" customWidth="1"/>
    <col min="4" max="4" width="22" customWidth="1"/>
    <col min="5" max="5" width="12" customWidth="1"/>
    <col min="6" max="7" width="13" customWidth="1"/>
    <col min="8" max="8" width="14" customWidth="1"/>
    <col min="9" max="9" width="46" customWidth="1"/>
    <col min="10" max="10" width="24" customWidth="1"/>
  </cols>
  <sheetData>
    <row r="1" ht="12" customHeight="1" x14ac:dyDescent="0.25"/>
    <row r="2" ht="34" customHeight="1" spans="2:10" x14ac:dyDescent="0.25">
      <c r="B2" s="1" t="s">
        <v>44</v>
      </c>
      <c r="J2" s="38">
        <f>'Complétude'!$I25</f>
      </c>
    </row>
    <row r="3" ht="18" customHeight="1" spans="2:10" x14ac:dyDescent="0.25">
      <c r="B3" s="2" t="s">
        <v>213</v>
      </c>
      <c r="J3" s="39" t="s">
        <v>156</v>
      </c>
    </row>
    <row r="4" ht="18" customHeight="1" spans="2:2" x14ac:dyDescent="0.25">
      <c r="B4" t="s">
        <v>214</v>
      </c>
    </row>
    <row r="5" ht="16" customHeight="1" spans="2:2" x14ac:dyDescent="0.25">
      <c r="B5" s="40" t="s">
        <v>215</v>
      </c>
    </row>
    <row r="6" ht="10" customHeight="1" x14ac:dyDescent="0.25"/>
    <row r="7" ht="15" customHeight="1" spans="2:10" x14ac:dyDescent="0.25">
      <c r="B7" s="43" t="s">
        <v>161</v>
      </c>
      <c r="C7" s="41" t="s">
        <v>159</v>
      </c>
      <c r="D7" s="41" t="s">
        <v>159</v>
      </c>
      <c r="E7" s="41" t="s">
        <v>173</v>
      </c>
      <c r="F7" s="41" t="s">
        <v>159</v>
      </c>
      <c r="G7" s="41" t="s">
        <v>159</v>
      </c>
      <c r="H7" s="42" t="s">
        <v>174</v>
      </c>
      <c r="I7" s="42" t="s">
        <v>160</v>
      </c>
      <c r="J7" s="43" t="s">
        <v>162</v>
      </c>
    </row>
    <row r="8" ht="26" customHeight="1" spans="2:10" x14ac:dyDescent="0.25">
      <c r="B8" s="45" t="s">
        <v>144</v>
      </c>
      <c r="C8" s="44" t="s">
        <v>210</v>
      </c>
      <c r="D8" s="44" t="s">
        <v>163</v>
      </c>
      <c r="E8" s="44" t="s">
        <v>100</v>
      </c>
      <c r="F8" s="44" t="s">
        <v>184</v>
      </c>
      <c r="G8" s="44" t="s">
        <v>185</v>
      </c>
      <c r="H8" s="44" t="s">
        <v>19</v>
      </c>
      <c r="I8" s="44" t="s">
        <v>164</v>
      </c>
      <c r="J8" s="45" t="s">
        <v>150</v>
      </c>
    </row>
    <row r="9" ht="21" customHeight="1" spans="2:10" x14ac:dyDescent="0.25">
      <c r="B9" s="47">
        <f>IF(C9="","",C9&amp;" · "&amp;D9)</f>
      </c>
      <c r="C9" s="58"/>
      <c r="D9" s="46"/>
      <c r="E9" s="46"/>
      <c r="F9" s="49"/>
      <c r="G9" s="49"/>
      <c r="H9" s="46"/>
      <c r="I9" s="46"/>
      <c r="J9" s="48">
        <f>IF(C9="","",IF(COUNTIF($C$9:$C$38,C9)&gt;1,"⚠ N° en double",IF(AND(F9&lt;&gt;"",G9&lt;&gt;"",G9&lt;F9),"⚠ Fin avant début","✓")))</f>
      </c>
    </row>
    <row r="10" ht="21" customHeight="1" spans="2:10" x14ac:dyDescent="0.25">
      <c r="B10" s="47">
        <f>IF(C10="","",C10&amp;" · "&amp;D10)</f>
      </c>
      <c r="C10" s="58"/>
      <c r="D10" s="46"/>
      <c r="E10" s="46"/>
      <c r="F10" s="49"/>
      <c r="G10" s="49"/>
      <c r="H10" s="46"/>
      <c r="I10" s="46"/>
      <c r="J10" s="48">
        <f>IF(C10="","",IF(COUNTIF($C$9:$C$38,C10)&gt;1,"⚠ N° en double",IF(AND(F10&lt;&gt;"",G10&lt;&gt;"",G10&lt;F10),"⚠ Fin avant début","✓")))</f>
      </c>
    </row>
    <row r="11" ht="21" customHeight="1" spans="2:10" x14ac:dyDescent="0.25">
      <c r="B11" s="47">
        <f>IF(C11="","",C11&amp;" · "&amp;D11)</f>
      </c>
      <c r="C11" s="58"/>
      <c r="D11" s="46"/>
      <c r="E11" s="46"/>
      <c r="F11" s="49"/>
      <c r="G11" s="49"/>
      <c r="H11" s="46"/>
      <c r="I11" s="46"/>
      <c r="J11" s="48">
        <f>IF(C11="","",IF(COUNTIF($C$9:$C$38,C11)&gt;1,"⚠ N° en double",IF(AND(F11&lt;&gt;"",G11&lt;&gt;"",G11&lt;F11),"⚠ Fin avant début","✓")))</f>
      </c>
    </row>
    <row r="12" ht="21" customHeight="1" spans="2:10" x14ac:dyDescent="0.25">
      <c r="B12" s="47">
        <f>IF(C12="","",C12&amp;" · "&amp;D12)</f>
      </c>
      <c r="C12" s="58"/>
      <c r="D12" s="46"/>
      <c r="E12" s="46"/>
      <c r="F12" s="49"/>
      <c r="G12" s="49"/>
      <c r="H12" s="46"/>
      <c r="I12" s="46"/>
      <c r="J12" s="48">
        <f>IF(C12="","",IF(COUNTIF($C$9:$C$38,C12)&gt;1,"⚠ N° en double",IF(AND(F12&lt;&gt;"",G12&lt;&gt;"",G12&lt;F12),"⚠ Fin avant début","✓")))</f>
      </c>
    </row>
    <row r="13" ht="21" customHeight="1" spans="2:10" x14ac:dyDescent="0.25">
      <c r="B13" s="47">
        <f>IF(C13="","",C13&amp;" · "&amp;D13)</f>
      </c>
      <c r="C13" s="58"/>
      <c r="D13" s="46"/>
      <c r="E13" s="46"/>
      <c r="F13" s="49"/>
      <c r="G13" s="49"/>
      <c r="H13" s="46"/>
      <c r="I13" s="46"/>
      <c r="J13" s="48">
        <f>IF(C13="","",IF(COUNTIF($C$9:$C$38,C13)&gt;1,"⚠ N° en double",IF(AND(F13&lt;&gt;"",G13&lt;&gt;"",G13&lt;F13),"⚠ Fin avant début","✓")))</f>
      </c>
    </row>
    <row r="14" ht="21" customHeight="1" spans="2:10" x14ac:dyDescent="0.25">
      <c r="B14" s="47">
        <f>IF(C14="","",C14&amp;" · "&amp;D14)</f>
      </c>
      <c r="C14" s="58"/>
      <c r="D14" s="46"/>
      <c r="E14" s="46"/>
      <c r="F14" s="49"/>
      <c r="G14" s="49"/>
      <c r="H14" s="46"/>
      <c r="I14" s="46"/>
      <c r="J14" s="48">
        <f>IF(C14="","",IF(COUNTIF($C$9:$C$38,C14)&gt;1,"⚠ N° en double",IF(AND(F14&lt;&gt;"",G14&lt;&gt;"",G14&lt;F14),"⚠ Fin avant début","✓")))</f>
      </c>
    </row>
    <row r="15" ht="21" customHeight="1" spans="2:10" x14ac:dyDescent="0.25">
      <c r="B15" s="47">
        <f>IF(C15="","",C15&amp;" · "&amp;D15)</f>
      </c>
      <c r="C15" s="58"/>
      <c r="D15" s="46"/>
      <c r="E15" s="46"/>
      <c r="F15" s="49"/>
      <c r="G15" s="49"/>
      <c r="H15" s="46"/>
      <c r="I15" s="46"/>
      <c r="J15" s="48">
        <f>IF(C15="","",IF(COUNTIF($C$9:$C$38,C15)&gt;1,"⚠ N° en double",IF(AND(F15&lt;&gt;"",G15&lt;&gt;"",G15&lt;F15),"⚠ Fin avant début","✓")))</f>
      </c>
    </row>
    <row r="16" ht="21" customHeight="1" spans="2:10" x14ac:dyDescent="0.25">
      <c r="B16" s="47">
        <f>IF(C16="","",C16&amp;" · "&amp;D16)</f>
      </c>
      <c r="C16" s="58"/>
      <c r="D16" s="46"/>
      <c r="E16" s="46"/>
      <c r="F16" s="49"/>
      <c r="G16" s="49"/>
      <c r="H16" s="46"/>
      <c r="I16" s="46"/>
      <c r="J16" s="48">
        <f>IF(C16="","",IF(COUNTIF($C$9:$C$38,C16)&gt;1,"⚠ N° en double",IF(AND(F16&lt;&gt;"",G16&lt;&gt;"",G16&lt;F16),"⚠ Fin avant début","✓")))</f>
      </c>
    </row>
    <row r="17" ht="21" customHeight="1" spans="2:10" x14ac:dyDescent="0.25">
      <c r="B17" s="47">
        <f>IF(C17="","",C17&amp;" · "&amp;D17)</f>
      </c>
      <c r="C17" s="58"/>
      <c r="D17" s="46"/>
      <c r="E17" s="46"/>
      <c r="F17" s="49"/>
      <c r="G17" s="49"/>
      <c r="H17" s="46"/>
      <c r="I17" s="46"/>
      <c r="J17" s="48">
        <f>IF(C17="","",IF(COUNTIF($C$9:$C$38,C17)&gt;1,"⚠ N° en double",IF(AND(F17&lt;&gt;"",G17&lt;&gt;"",G17&lt;F17),"⚠ Fin avant début","✓")))</f>
      </c>
    </row>
    <row r="18" ht="21" customHeight="1" spans="2:10" x14ac:dyDescent="0.25">
      <c r="B18" s="47">
        <f>IF(C18="","",C18&amp;" · "&amp;D18)</f>
      </c>
      <c r="C18" s="58"/>
      <c r="D18" s="46"/>
      <c r="E18" s="46"/>
      <c r="F18" s="49"/>
      <c r="G18" s="49"/>
      <c r="H18" s="46"/>
      <c r="I18" s="46"/>
      <c r="J18" s="48">
        <f>IF(C18="","",IF(COUNTIF($C$9:$C$38,C18)&gt;1,"⚠ N° en double",IF(AND(F18&lt;&gt;"",G18&lt;&gt;"",G18&lt;F18),"⚠ Fin avant début","✓")))</f>
      </c>
    </row>
    <row r="19" ht="21" customHeight="1" spans="2:10" x14ac:dyDescent="0.25">
      <c r="B19" s="47">
        <f>IF(C19="","",C19&amp;" · "&amp;D19)</f>
      </c>
      <c r="C19" s="58"/>
      <c r="D19" s="46"/>
      <c r="E19" s="46"/>
      <c r="F19" s="49"/>
      <c r="G19" s="49"/>
      <c r="H19" s="46"/>
      <c r="I19" s="46"/>
      <c r="J19" s="48">
        <f>IF(C19="","",IF(COUNTIF($C$9:$C$38,C19)&gt;1,"⚠ N° en double",IF(AND(F19&lt;&gt;"",G19&lt;&gt;"",G19&lt;F19),"⚠ Fin avant début","✓")))</f>
      </c>
    </row>
    <row r="20" ht="21" customHeight="1" spans="2:10" x14ac:dyDescent="0.25">
      <c r="B20" s="47">
        <f>IF(C20="","",C20&amp;" · "&amp;D20)</f>
      </c>
      <c r="C20" s="58"/>
      <c r="D20" s="46"/>
      <c r="E20" s="46"/>
      <c r="F20" s="49"/>
      <c r="G20" s="49"/>
      <c r="H20" s="46"/>
      <c r="I20" s="46"/>
      <c r="J20" s="48">
        <f>IF(C20="","",IF(COUNTIF($C$9:$C$38,C20)&gt;1,"⚠ N° en double",IF(AND(F20&lt;&gt;"",G20&lt;&gt;"",G20&lt;F20),"⚠ Fin avant début","✓")))</f>
      </c>
    </row>
    <row r="21" ht="21" customHeight="1" spans="2:10" x14ac:dyDescent="0.25">
      <c r="B21" s="47">
        <f>IF(C21="","",C21&amp;" · "&amp;D21)</f>
      </c>
      <c r="C21" s="58"/>
      <c r="D21" s="46"/>
      <c r="E21" s="46"/>
      <c r="F21" s="49"/>
      <c r="G21" s="49"/>
      <c r="H21" s="46"/>
      <c r="I21" s="46"/>
      <c r="J21" s="48">
        <f>IF(C21="","",IF(COUNTIF($C$9:$C$38,C21)&gt;1,"⚠ N° en double",IF(AND(F21&lt;&gt;"",G21&lt;&gt;"",G21&lt;F21),"⚠ Fin avant début","✓")))</f>
      </c>
    </row>
    <row r="22" ht="21" customHeight="1" spans="2:10" x14ac:dyDescent="0.25">
      <c r="B22" s="47">
        <f>IF(C22="","",C22&amp;" · "&amp;D22)</f>
      </c>
      <c r="C22" s="58"/>
      <c r="D22" s="46"/>
      <c r="E22" s="46"/>
      <c r="F22" s="49"/>
      <c r="G22" s="49"/>
      <c r="H22" s="46"/>
      <c r="I22" s="46"/>
      <c r="J22" s="48">
        <f>IF(C22="","",IF(COUNTIF($C$9:$C$38,C22)&gt;1,"⚠ N° en double",IF(AND(F22&lt;&gt;"",G22&lt;&gt;"",G22&lt;F22),"⚠ Fin avant début","✓")))</f>
      </c>
    </row>
    <row r="23" ht="21" customHeight="1" spans="2:10" x14ac:dyDescent="0.25">
      <c r="B23" s="47">
        <f>IF(C23="","",C23&amp;" · "&amp;D23)</f>
      </c>
      <c r="C23" s="58"/>
      <c r="D23" s="46"/>
      <c r="E23" s="46"/>
      <c r="F23" s="49"/>
      <c r="G23" s="49"/>
      <c r="H23" s="46"/>
      <c r="I23" s="46"/>
      <c r="J23" s="48">
        <f>IF(C23="","",IF(COUNTIF($C$9:$C$38,C23)&gt;1,"⚠ N° en double",IF(AND(F23&lt;&gt;"",G23&lt;&gt;"",G23&lt;F23),"⚠ Fin avant début","✓")))</f>
      </c>
    </row>
    <row r="24" ht="21" customHeight="1" spans="2:10" x14ac:dyDescent="0.25">
      <c r="B24" s="47">
        <f>IF(C24="","",C24&amp;" · "&amp;D24)</f>
      </c>
      <c r="C24" s="58"/>
      <c r="D24" s="46"/>
      <c r="E24" s="46"/>
      <c r="F24" s="49"/>
      <c r="G24" s="49"/>
      <c r="H24" s="46"/>
      <c r="I24" s="46"/>
      <c r="J24" s="48">
        <f>IF(C24="","",IF(COUNTIF($C$9:$C$38,C24)&gt;1,"⚠ N° en double",IF(AND(F24&lt;&gt;"",G24&lt;&gt;"",G24&lt;F24),"⚠ Fin avant début","✓")))</f>
      </c>
    </row>
    <row r="25" ht="21" customHeight="1" spans="2:10" x14ac:dyDescent="0.25">
      <c r="B25" s="47">
        <f>IF(C25="","",C25&amp;" · "&amp;D25)</f>
      </c>
      <c r="C25" s="58"/>
      <c r="D25" s="46"/>
      <c r="E25" s="46"/>
      <c r="F25" s="49"/>
      <c r="G25" s="49"/>
      <c r="H25" s="46"/>
      <c r="I25" s="46"/>
      <c r="J25" s="48">
        <f>IF(C25="","",IF(COUNTIF($C$9:$C$38,C25)&gt;1,"⚠ N° en double",IF(AND(F25&lt;&gt;"",G25&lt;&gt;"",G25&lt;F25),"⚠ Fin avant début","✓")))</f>
      </c>
    </row>
    <row r="26" ht="21" customHeight="1" spans="2:10" x14ac:dyDescent="0.25">
      <c r="B26" s="47">
        <f>IF(C26="","",C26&amp;" · "&amp;D26)</f>
      </c>
      <c r="C26" s="58"/>
      <c r="D26" s="46"/>
      <c r="E26" s="46"/>
      <c r="F26" s="49"/>
      <c r="G26" s="49"/>
      <c r="H26" s="46"/>
      <c r="I26" s="46"/>
      <c r="J26" s="48">
        <f>IF(C26="","",IF(COUNTIF($C$9:$C$38,C26)&gt;1,"⚠ N° en double",IF(AND(F26&lt;&gt;"",G26&lt;&gt;"",G26&lt;F26),"⚠ Fin avant début","✓")))</f>
      </c>
    </row>
    <row r="27" ht="21" customHeight="1" spans="2:10" x14ac:dyDescent="0.25">
      <c r="B27" s="47">
        <f>IF(C27="","",C27&amp;" · "&amp;D27)</f>
      </c>
      <c r="C27" s="58"/>
      <c r="D27" s="46"/>
      <c r="E27" s="46"/>
      <c r="F27" s="49"/>
      <c r="G27" s="49"/>
      <c r="H27" s="46"/>
      <c r="I27" s="46"/>
      <c r="J27" s="48">
        <f>IF(C27="","",IF(COUNTIF($C$9:$C$38,C27)&gt;1,"⚠ N° en double",IF(AND(F27&lt;&gt;"",G27&lt;&gt;"",G27&lt;F27),"⚠ Fin avant début","✓")))</f>
      </c>
    </row>
    <row r="28" ht="21" customHeight="1" spans="2:10" x14ac:dyDescent="0.25">
      <c r="B28" s="47">
        <f>IF(C28="","",C28&amp;" · "&amp;D28)</f>
      </c>
      <c r="C28" s="58"/>
      <c r="D28" s="46"/>
      <c r="E28" s="46"/>
      <c r="F28" s="49"/>
      <c r="G28" s="49"/>
      <c r="H28" s="46"/>
      <c r="I28" s="46"/>
      <c r="J28" s="48">
        <f>IF(C28="","",IF(COUNTIF($C$9:$C$38,C28)&gt;1,"⚠ N° en double",IF(AND(F28&lt;&gt;"",G28&lt;&gt;"",G28&lt;F28),"⚠ Fin avant début","✓")))</f>
      </c>
    </row>
    <row r="29" ht="21" customHeight="1" spans="2:10" x14ac:dyDescent="0.25">
      <c r="B29" s="47">
        <f>IF(C29="","",C29&amp;" · "&amp;D29)</f>
      </c>
      <c r="C29" s="58"/>
      <c r="D29" s="46"/>
      <c r="E29" s="46"/>
      <c r="F29" s="49"/>
      <c r="G29" s="49"/>
      <c r="H29" s="46"/>
      <c r="I29" s="46"/>
      <c r="J29" s="48">
        <f>IF(C29="","",IF(COUNTIF($C$9:$C$38,C29)&gt;1,"⚠ N° en double",IF(AND(F29&lt;&gt;"",G29&lt;&gt;"",G29&lt;F29),"⚠ Fin avant début","✓")))</f>
      </c>
    </row>
    <row r="30" ht="21" customHeight="1" spans="2:10" x14ac:dyDescent="0.25">
      <c r="B30" s="47">
        <f>IF(C30="","",C30&amp;" · "&amp;D30)</f>
      </c>
      <c r="C30" s="58"/>
      <c r="D30" s="46"/>
      <c r="E30" s="46"/>
      <c r="F30" s="49"/>
      <c r="G30" s="49"/>
      <c r="H30" s="46"/>
      <c r="I30" s="46"/>
      <c r="J30" s="48">
        <f>IF(C30="","",IF(COUNTIF($C$9:$C$38,C30)&gt;1,"⚠ N° en double",IF(AND(F30&lt;&gt;"",G30&lt;&gt;"",G30&lt;F30),"⚠ Fin avant début","✓")))</f>
      </c>
    </row>
    <row r="31" ht="21" customHeight="1" spans="2:10" x14ac:dyDescent="0.25">
      <c r="B31" s="47">
        <f>IF(C31="","",C31&amp;" · "&amp;D31)</f>
      </c>
      <c r="C31" s="58"/>
      <c r="D31" s="46"/>
      <c r="E31" s="46"/>
      <c r="F31" s="49"/>
      <c r="G31" s="49"/>
      <c r="H31" s="46"/>
      <c r="I31" s="46"/>
      <c r="J31" s="48">
        <f>IF(C31="","",IF(COUNTIF($C$9:$C$38,C31)&gt;1,"⚠ N° en double",IF(AND(F31&lt;&gt;"",G31&lt;&gt;"",G31&lt;F31),"⚠ Fin avant début","✓")))</f>
      </c>
    </row>
    <row r="32" ht="21" customHeight="1" spans="2:10" x14ac:dyDescent="0.25">
      <c r="B32" s="47">
        <f>IF(C32="","",C32&amp;" · "&amp;D32)</f>
      </c>
      <c r="C32" s="58"/>
      <c r="D32" s="46"/>
      <c r="E32" s="46"/>
      <c r="F32" s="49"/>
      <c r="G32" s="49"/>
      <c r="H32" s="46"/>
      <c r="I32" s="46"/>
      <c r="J32" s="48">
        <f>IF(C32="","",IF(COUNTIF($C$9:$C$38,C32)&gt;1,"⚠ N° en double",IF(AND(F32&lt;&gt;"",G32&lt;&gt;"",G32&lt;F32),"⚠ Fin avant début","✓")))</f>
      </c>
    </row>
    <row r="33" ht="21" customHeight="1" spans="2:10" x14ac:dyDescent="0.25">
      <c r="B33" s="47">
        <f>IF(C33="","",C33&amp;" · "&amp;D33)</f>
      </c>
      <c r="C33" s="58"/>
      <c r="D33" s="46"/>
      <c r="E33" s="46"/>
      <c r="F33" s="49"/>
      <c r="G33" s="49"/>
      <c r="H33" s="46"/>
      <c r="I33" s="46"/>
      <c r="J33" s="48">
        <f>IF(C33="","",IF(COUNTIF($C$9:$C$38,C33)&gt;1,"⚠ N° en double",IF(AND(F33&lt;&gt;"",G33&lt;&gt;"",G33&lt;F33),"⚠ Fin avant début","✓")))</f>
      </c>
    </row>
    <row r="34" ht="21" customHeight="1" spans="2:10" x14ac:dyDescent="0.25">
      <c r="B34" s="47">
        <f>IF(C34="","",C34&amp;" · "&amp;D34)</f>
      </c>
      <c r="C34" s="58"/>
      <c r="D34" s="46"/>
      <c r="E34" s="46"/>
      <c r="F34" s="49"/>
      <c r="G34" s="49"/>
      <c r="H34" s="46"/>
      <c r="I34" s="46"/>
      <c r="J34" s="48">
        <f>IF(C34="","",IF(COUNTIF($C$9:$C$38,C34)&gt;1,"⚠ N° en double",IF(AND(F34&lt;&gt;"",G34&lt;&gt;"",G34&lt;F34),"⚠ Fin avant début","✓")))</f>
      </c>
    </row>
    <row r="35" ht="21" customHeight="1" spans="2:10" x14ac:dyDescent="0.25">
      <c r="B35" s="47">
        <f>IF(C35="","",C35&amp;" · "&amp;D35)</f>
      </c>
      <c r="C35" s="58"/>
      <c r="D35" s="46"/>
      <c r="E35" s="46"/>
      <c r="F35" s="49"/>
      <c r="G35" s="49"/>
      <c r="H35" s="46"/>
      <c r="I35" s="46"/>
      <c r="J35" s="48">
        <f>IF(C35="","",IF(COUNTIF($C$9:$C$38,C35)&gt;1,"⚠ N° en double",IF(AND(F35&lt;&gt;"",G35&lt;&gt;"",G35&lt;F35),"⚠ Fin avant début","✓")))</f>
      </c>
    </row>
    <row r="36" ht="21" customHeight="1" spans="2:10" x14ac:dyDescent="0.25">
      <c r="B36" s="47">
        <f>IF(C36="","",C36&amp;" · "&amp;D36)</f>
      </c>
      <c r="C36" s="58"/>
      <c r="D36" s="46"/>
      <c r="E36" s="46"/>
      <c r="F36" s="49"/>
      <c r="G36" s="49"/>
      <c r="H36" s="46"/>
      <c r="I36" s="46"/>
      <c r="J36" s="48">
        <f>IF(C36="","",IF(COUNTIF($C$9:$C$38,C36)&gt;1,"⚠ N° en double",IF(AND(F36&lt;&gt;"",G36&lt;&gt;"",G36&lt;F36),"⚠ Fin avant début","✓")))</f>
      </c>
    </row>
    <row r="37" ht="21" customHeight="1" spans="2:10" x14ac:dyDescent="0.25">
      <c r="B37" s="47">
        <f>IF(C37="","",C37&amp;" · "&amp;D37)</f>
      </c>
      <c r="C37" s="58"/>
      <c r="D37" s="46"/>
      <c r="E37" s="46"/>
      <c r="F37" s="49"/>
      <c r="G37" s="49"/>
      <c r="H37" s="46"/>
      <c r="I37" s="46"/>
      <c r="J37" s="48">
        <f>IF(C37="","",IF(COUNTIF($C$9:$C$38,C37)&gt;1,"⚠ N° en double",IF(AND(F37&lt;&gt;"",G37&lt;&gt;"",G37&lt;F37),"⚠ Fin avant début","✓")))</f>
      </c>
    </row>
    <row r="38" ht="21" customHeight="1" spans="2:10" x14ac:dyDescent="0.25">
      <c r="B38" s="47">
        <f>IF(C38="","",C38&amp;" · "&amp;D38)</f>
      </c>
      <c r="C38" s="58"/>
      <c r="D38" s="46"/>
      <c r="E38" s="46"/>
      <c r="F38" s="49"/>
      <c r="G38" s="49"/>
      <c r="H38" s="46"/>
      <c r="I38" s="46"/>
      <c r="J38" s="48">
        <f>IF(C38="","",IF(COUNTIF($C$9:$C$38,C38)&gt;1,"⚠ N° en double",IF(AND(F38&lt;&gt;"",G38&lt;&gt;"",G38&lt;F38),"⚠ Fin avant début","✓")))</f>
      </c>
    </row>
  </sheetData>
  <sheetProtection sheet="1" formatColumns="0" formatRows="0" sort="0" autoFilter="0"/>
  <autoFilter ref="B8:J8"/>
  <conditionalFormatting sqref="C9:C38">
    <cfRule type="expression" dxfId="33" priority="1">
      <formula>AND(OR($C9&lt;&gt;"",$D9&lt;&gt;"",$E9&lt;&gt;"",$F9&lt;&gt;"",$G9&lt;&gt;"",$H9&lt;&gt;"",$I9&lt;&gt;""),C9="")</formula>
    </cfRule>
  </conditionalFormatting>
  <conditionalFormatting sqref="D9:D38">
    <cfRule type="expression" dxfId="34" priority="1">
      <formula>AND(OR($C9&lt;&gt;"",$D9&lt;&gt;"",$E9&lt;&gt;"",$F9&lt;&gt;"",$G9&lt;&gt;"",$H9&lt;&gt;"",$I9&lt;&gt;""),D9="")</formula>
    </cfRule>
  </conditionalFormatting>
  <conditionalFormatting sqref="E9:E38">
    <cfRule type="expression" dxfId="35" priority="1">
      <formula>AND(OR($C9&lt;&gt;"",$D9&lt;&gt;"",$E9&lt;&gt;"",$F9&lt;&gt;"",$G9&lt;&gt;"",$H9&lt;&gt;"",$I9&lt;&gt;""),E9="")</formula>
    </cfRule>
  </conditionalFormatting>
  <conditionalFormatting sqref="F9:F38">
    <cfRule type="expression" dxfId="36" priority="1">
      <formula>AND(OR($C9&lt;&gt;"",$D9&lt;&gt;"",$E9&lt;&gt;"",$F9&lt;&gt;"",$G9&lt;&gt;"",$H9&lt;&gt;"",$I9&lt;&gt;""),F9="")</formula>
    </cfRule>
  </conditionalFormatting>
  <conditionalFormatting sqref="G9:G38">
    <cfRule type="expression" dxfId="37" priority="1">
      <formula>AND(OR($C9&lt;&gt;"",$D9&lt;&gt;"",$E9&lt;&gt;"",$F9&lt;&gt;"",$G9&lt;&gt;"",$H9&lt;&gt;"",$I9&lt;&gt;""),G9="")</formula>
    </cfRule>
  </conditionalFormatting>
  <conditionalFormatting sqref="J9:J38">
    <cfRule type="containsText" dxfId="38" priority="2">
      <formula>NOT(ISERROR(SEARCH("⚠",J9)))</formula>
    </cfRule>
    <cfRule type="containsText" dxfId="39" priority="3">
      <formula>NOT(ISERROR(SEARCH("◔",J9)))</formula>
    </cfRule>
  </conditionalFormatting>
  <dataValidations count="8">
    <dataValidation type="whole" allowBlank="1" showErrorMessage="1" errorTitle="Numéro attendu" error="Saisissez un nombre entier entre 1 et 99." sqref="C10:C38">
      <formula1>1</formula1>
      <formula2>99</formula2>
    </dataValidation>
    <dataValidation type="whole" allowBlank="1" showErrorMessage="1" errorTitle="Numéro attendu" error="Saisissez un nombre entier entre 1 et 99." sqref="C9:C38">
      <formula1>1</formula1>
      <formula2>99</formula2>
    </dataValidation>
    <dataValidation type="list" allowBlank="1" showErrorMessage="1" errorStyle="stop" errorTitle="Valeur hors liste" error="Choisissez une valeur dans la liste. Elle se remplit à partir de l’onglet correspondant." sqref="E10:E38">
      <formula1>L_Lots</formula1>
    </dataValidation>
    <dataValidation type="list" allowBlank="1" showErrorMessage="1" errorStyle="stop" errorTitle="Valeur hors liste" error="Choisissez une valeur dans la liste. Elle se remplit à partir de l’onglet correspondant." sqref="E9:E38">
      <formula1>L_Lots</formula1>
    </dataValidation>
    <dataValidation type="date" operator="greaterThan" allowBlank="1" showErrorMessage="1" errorStyle="stop" errorTitle="Date attendue" error="Saisissez une date au format JJ/MM/AAAA." sqref="F10:G38">
      <formula1>36526</formula1>
    </dataValidation>
    <dataValidation type="date" operator="greaterThan" allowBlank="1" showErrorMessage="1" errorStyle="stop" errorTitle="Date attendue" error="Saisissez une date au format JJ/MM/AAAA." sqref="F9:G38">
      <formula1>36526</formula1>
    </dataValidation>
    <dataValidation type="list" allowBlank="1" showErrorMessage="1" errorStyle="stop" errorTitle="Valeur hors liste" error="Choisissez une valeur dans la liste. Elle se remplit à partir de l’onglet correspondant." sqref="H10:H38">
      <formula1>L_StatutPhase</formula1>
    </dataValidation>
    <dataValidation type="list" allowBlank="1" showErrorMessage="1" errorStyle="stop" errorTitle="Valeur hors liste" error="Choisissez une valeur dans la liste. Elle se remplit à partir de l’onglet correspondant." sqref="H9:H38">
      <formula1>L_StatutPhase</formula1>
    </dataValidation>
  </dataValidations>
  <hyperlinks>
    <hyperlink ref="J3" r:id="rId1" location="#'Complétude'!A1"/>
  </hyperlinks>
  <pageMargins left="0.4" right="0.4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8F86"/>
    <pageSetUpPr fitToPage="1"/>
  </sheetPr>
  <dimension ref="B1:J8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18" customWidth="1"/>
    <col min="4" max="4" width="8" customWidth="1"/>
    <col min="5" max="5" width="32" customWidth="1"/>
    <col min="6" max="7" width="13" customWidth="1"/>
    <col min="8" max="8" width="14" customWidth="1"/>
    <col min="9" max="9" width="40" customWidth="1"/>
    <col min="10" max="10" width="28" customWidth="1"/>
  </cols>
  <sheetData>
    <row r="1" ht="12" customHeight="1" x14ac:dyDescent="0.25"/>
    <row r="2" ht="34" customHeight="1" spans="2:10" x14ac:dyDescent="0.25">
      <c r="B2" s="1" t="s">
        <v>47</v>
      </c>
      <c r="J2" s="38">
        <f>'Complétude'!$I26</f>
      </c>
    </row>
    <row r="3" ht="18" customHeight="1" spans="2:10" x14ac:dyDescent="0.25">
      <c r="B3" s="2" t="s">
        <v>216</v>
      </c>
      <c r="J3" s="39" t="s">
        <v>156</v>
      </c>
    </row>
    <row r="4" ht="18" customHeight="1" spans="2:2" x14ac:dyDescent="0.25">
      <c r="B4" t="s">
        <v>217</v>
      </c>
    </row>
    <row r="5" ht="16" customHeight="1" spans="2:2" x14ac:dyDescent="0.25">
      <c r="B5" s="40" t="s">
        <v>218</v>
      </c>
    </row>
    <row r="6" ht="10" customHeight="1" x14ac:dyDescent="0.25"/>
    <row r="7" ht="15" customHeight="1" spans="2:10" x14ac:dyDescent="0.25">
      <c r="B7" s="43" t="s">
        <v>161</v>
      </c>
      <c r="C7" s="41" t="s">
        <v>173</v>
      </c>
      <c r="D7" s="41" t="s">
        <v>159</v>
      </c>
      <c r="E7" s="41" t="s">
        <v>159</v>
      </c>
      <c r="F7" s="42" t="s">
        <v>160</v>
      </c>
      <c r="G7" s="42" t="s">
        <v>160</v>
      </c>
      <c r="H7" s="42" t="s">
        <v>174</v>
      </c>
      <c r="I7" s="42" t="s">
        <v>160</v>
      </c>
      <c r="J7" s="43" t="s">
        <v>162</v>
      </c>
    </row>
    <row r="8" ht="26" customHeight="1" spans="2:10" x14ac:dyDescent="0.25">
      <c r="B8" s="45" t="s">
        <v>144</v>
      </c>
      <c r="C8" s="44" t="s">
        <v>104</v>
      </c>
      <c r="D8" s="44" t="s">
        <v>210</v>
      </c>
      <c r="E8" s="44" t="s">
        <v>163</v>
      </c>
      <c r="F8" s="44" t="s">
        <v>184</v>
      </c>
      <c r="G8" s="44" t="s">
        <v>185</v>
      </c>
      <c r="H8" s="44" t="s">
        <v>19</v>
      </c>
      <c r="I8" s="44" t="s">
        <v>164</v>
      </c>
      <c r="J8" s="45" t="s">
        <v>150</v>
      </c>
    </row>
    <row r="9" ht="21" customHeight="1" spans="2:10" x14ac:dyDescent="0.25">
      <c r="B9" s="47">
        <f>IF(D9="","",D9&amp;" · "&amp;E9)</f>
      </c>
      <c r="C9" s="46"/>
      <c r="D9" s="46"/>
      <c r="E9" s="46"/>
      <c r="F9" s="49"/>
      <c r="G9" s="49"/>
      <c r="H9" s="46"/>
      <c r="I9" s="46"/>
      <c r="J9" s="48">
        <f>IF(OR(C9="",D9=""),"",IF(LEFT(D9,LEN(LEFT(C9,FIND(" ·",C9&amp;" ·")-1))+1)&lt;&gt;LEFT(C9,FIND(" ·",C9&amp;" ·")-1)&amp;".","⚠ N° hors phase",IF(AND(F9&lt;&gt;"",G9&lt;&gt;"",G9&lt;F9),"⚠ Fin avant début",IF(AND(F9&lt;&gt;"",IFERROR(F9&lt;INDEX('07 Phases'!$F$9:$F$38,MATCH(C9,'07 Phases'!$B$9:$B$38,0)),FALSE)),"◔ Début avant la phase",IF(AND(G9&lt;&gt;"",IFERROR(G9&gt;INDEX('07 Phases'!$G$9:$G$38,MATCH(C9,'07 Phases'!$B$9:$B$38,0)),FALSE)),"◔ Fin après la phase","✓")))))</f>
      </c>
    </row>
    <row r="10" ht="21" customHeight="1" spans="2:10" x14ac:dyDescent="0.25">
      <c r="B10" s="47">
        <f>IF(D10="","",D10&amp;" · "&amp;E10)</f>
      </c>
      <c r="C10" s="46"/>
      <c r="D10" s="46"/>
      <c r="E10" s="46"/>
      <c r="F10" s="49"/>
      <c r="G10" s="49"/>
      <c r="H10" s="46"/>
      <c r="I10" s="46"/>
      <c r="J10" s="48">
        <f>IF(OR(C10="",D10=""),"",IF(LEFT(D10,LEN(LEFT(C10,FIND(" ·",C10&amp;" ·")-1))+1)&lt;&gt;LEFT(C10,FIND(" ·",C10&amp;" ·")-1)&amp;".","⚠ N° hors phase",IF(AND(F10&lt;&gt;"",G10&lt;&gt;"",G10&lt;F10),"⚠ Fin avant début",IF(AND(F10&lt;&gt;"",IFERROR(F10&lt;INDEX('07 Phases'!$F$9:$F$38,MATCH(C10,'07 Phases'!$B$9:$B$38,0)),FALSE)),"◔ Début avant la phase",IF(AND(G10&lt;&gt;"",IFERROR(G10&gt;INDEX('07 Phases'!$G$9:$G$38,MATCH(C10,'07 Phases'!$B$9:$B$38,0)),FALSE)),"◔ Fin après la phase","✓")))))</f>
      </c>
    </row>
    <row r="11" ht="21" customHeight="1" spans="2:10" x14ac:dyDescent="0.25">
      <c r="B11" s="47">
        <f>IF(D11="","",D11&amp;" · "&amp;E11)</f>
      </c>
      <c r="C11" s="46"/>
      <c r="D11" s="46"/>
      <c r="E11" s="46"/>
      <c r="F11" s="49"/>
      <c r="G11" s="49"/>
      <c r="H11" s="46"/>
      <c r="I11" s="46"/>
      <c r="J11" s="48">
        <f>IF(OR(C11="",D11=""),"",IF(LEFT(D11,LEN(LEFT(C11,FIND(" ·",C11&amp;" ·")-1))+1)&lt;&gt;LEFT(C11,FIND(" ·",C11&amp;" ·")-1)&amp;".","⚠ N° hors phase",IF(AND(F11&lt;&gt;"",G11&lt;&gt;"",G11&lt;F11),"⚠ Fin avant début",IF(AND(F11&lt;&gt;"",IFERROR(F11&lt;INDEX('07 Phases'!$F$9:$F$38,MATCH(C11,'07 Phases'!$B$9:$B$38,0)),FALSE)),"◔ Début avant la phase",IF(AND(G11&lt;&gt;"",IFERROR(G11&gt;INDEX('07 Phases'!$G$9:$G$38,MATCH(C11,'07 Phases'!$B$9:$B$38,0)),FALSE)),"◔ Fin après la phase","✓")))))</f>
      </c>
    </row>
    <row r="12" ht="21" customHeight="1" spans="2:10" x14ac:dyDescent="0.25">
      <c r="B12" s="47">
        <f>IF(D12="","",D12&amp;" · "&amp;E12)</f>
      </c>
      <c r="C12" s="46"/>
      <c r="D12" s="46"/>
      <c r="E12" s="46"/>
      <c r="F12" s="49"/>
      <c r="G12" s="49"/>
      <c r="H12" s="46"/>
      <c r="I12" s="46"/>
      <c r="J12" s="48">
        <f>IF(OR(C12="",D12=""),"",IF(LEFT(D12,LEN(LEFT(C12,FIND(" ·",C12&amp;" ·")-1))+1)&lt;&gt;LEFT(C12,FIND(" ·",C12&amp;" ·")-1)&amp;".","⚠ N° hors phase",IF(AND(F12&lt;&gt;"",G12&lt;&gt;"",G12&lt;F12),"⚠ Fin avant début",IF(AND(F12&lt;&gt;"",IFERROR(F12&lt;INDEX('07 Phases'!$F$9:$F$38,MATCH(C12,'07 Phases'!$B$9:$B$38,0)),FALSE)),"◔ Début avant la phase",IF(AND(G12&lt;&gt;"",IFERROR(G12&gt;INDEX('07 Phases'!$G$9:$G$38,MATCH(C12,'07 Phases'!$B$9:$B$38,0)),FALSE)),"◔ Fin après la phase","✓")))))</f>
      </c>
    </row>
    <row r="13" ht="21" customHeight="1" spans="2:10" x14ac:dyDescent="0.25">
      <c r="B13" s="47">
        <f>IF(D13="","",D13&amp;" · "&amp;E13)</f>
      </c>
      <c r="C13" s="46"/>
      <c r="D13" s="46"/>
      <c r="E13" s="46"/>
      <c r="F13" s="49"/>
      <c r="G13" s="49"/>
      <c r="H13" s="46"/>
      <c r="I13" s="46"/>
      <c r="J13" s="48">
        <f>IF(OR(C13="",D13=""),"",IF(LEFT(D13,LEN(LEFT(C13,FIND(" ·",C13&amp;" ·")-1))+1)&lt;&gt;LEFT(C13,FIND(" ·",C13&amp;" ·")-1)&amp;".","⚠ N° hors phase",IF(AND(F13&lt;&gt;"",G13&lt;&gt;"",G13&lt;F13),"⚠ Fin avant début",IF(AND(F13&lt;&gt;"",IFERROR(F13&lt;INDEX('07 Phases'!$F$9:$F$38,MATCH(C13,'07 Phases'!$B$9:$B$38,0)),FALSE)),"◔ Début avant la phase",IF(AND(G13&lt;&gt;"",IFERROR(G13&gt;INDEX('07 Phases'!$G$9:$G$38,MATCH(C13,'07 Phases'!$B$9:$B$38,0)),FALSE)),"◔ Fin après la phase","✓")))))</f>
      </c>
    </row>
    <row r="14" ht="21" customHeight="1" spans="2:10" x14ac:dyDescent="0.25">
      <c r="B14" s="47">
        <f>IF(D14="","",D14&amp;" · "&amp;E14)</f>
      </c>
      <c r="C14" s="46"/>
      <c r="D14" s="46"/>
      <c r="E14" s="46"/>
      <c r="F14" s="49"/>
      <c r="G14" s="49"/>
      <c r="H14" s="46"/>
      <c r="I14" s="46"/>
      <c r="J14" s="48">
        <f>IF(OR(C14="",D14=""),"",IF(LEFT(D14,LEN(LEFT(C14,FIND(" ·",C14&amp;" ·")-1))+1)&lt;&gt;LEFT(C14,FIND(" ·",C14&amp;" ·")-1)&amp;".","⚠ N° hors phase",IF(AND(F14&lt;&gt;"",G14&lt;&gt;"",G14&lt;F14),"⚠ Fin avant début",IF(AND(F14&lt;&gt;"",IFERROR(F14&lt;INDEX('07 Phases'!$F$9:$F$38,MATCH(C14,'07 Phases'!$B$9:$B$38,0)),FALSE)),"◔ Début avant la phase",IF(AND(G14&lt;&gt;"",IFERROR(G14&gt;INDEX('07 Phases'!$G$9:$G$38,MATCH(C14,'07 Phases'!$B$9:$B$38,0)),FALSE)),"◔ Fin après la phase","✓")))))</f>
      </c>
    </row>
    <row r="15" ht="21" customHeight="1" spans="2:10" x14ac:dyDescent="0.25">
      <c r="B15" s="47">
        <f>IF(D15="","",D15&amp;" · "&amp;E15)</f>
      </c>
      <c r="C15" s="46"/>
      <c r="D15" s="46"/>
      <c r="E15" s="46"/>
      <c r="F15" s="49"/>
      <c r="G15" s="49"/>
      <c r="H15" s="46"/>
      <c r="I15" s="46"/>
      <c r="J15" s="48">
        <f>IF(OR(C15="",D15=""),"",IF(LEFT(D15,LEN(LEFT(C15,FIND(" ·",C15&amp;" ·")-1))+1)&lt;&gt;LEFT(C15,FIND(" ·",C15&amp;" ·")-1)&amp;".","⚠ N° hors phase",IF(AND(F15&lt;&gt;"",G15&lt;&gt;"",G15&lt;F15),"⚠ Fin avant début",IF(AND(F15&lt;&gt;"",IFERROR(F15&lt;INDEX('07 Phases'!$F$9:$F$38,MATCH(C15,'07 Phases'!$B$9:$B$38,0)),FALSE)),"◔ Début avant la phase",IF(AND(G15&lt;&gt;"",IFERROR(G15&gt;INDEX('07 Phases'!$G$9:$G$38,MATCH(C15,'07 Phases'!$B$9:$B$38,0)),FALSE)),"◔ Fin après la phase","✓")))))</f>
      </c>
    </row>
    <row r="16" ht="21" customHeight="1" spans="2:10" x14ac:dyDescent="0.25">
      <c r="B16" s="47">
        <f>IF(D16="","",D16&amp;" · "&amp;E16)</f>
      </c>
      <c r="C16" s="46"/>
      <c r="D16" s="46"/>
      <c r="E16" s="46"/>
      <c r="F16" s="49"/>
      <c r="G16" s="49"/>
      <c r="H16" s="46"/>
      <c r="I16" s="46"/>
      <c r="J16" s="48">
        <f>IF(OR(C16="",D16=""),"",IF(LEFT(D16,LEN(LEFT(C16,FIND(" ·",C16&amp;" ·")-1))+1)&lt;&gt;LEFT(C16,FIND(" ·",C16&amp;" ·")-1)&amp;".","⚠ N° hors phase",IF(AND(F16&lt;&gt;"",G16&lt;&gt;"",G16&lt;F16),"⚠ Fin avant début",IF(AND(F16&lt;&gt;"",IFERROR(F16&lt;INDEX('07 Phases'!$F$9:$F$38,MATCH(C16,'07 Phases'!$B$9:$B$38,0)),FALSE)),"◔ Début avant la phase",IF(AND(G16&lt;&gt;"",IFERROR(G16&gt;INDEX('07 Phases'!$G$9:$G$38,MATCH(C16,'07 Phases'!$B$9:$B$38,0)),FALSE)),"◔ Fin après la phase","✓")))))</f>
      </c>
    </row>
    <row r="17" ht="21" customHeight="1" spans="2:10" x14ac:dyDescent="0.25">
      <c r="B17" s="47">
        <f>IF(D17="","",D17&amp;" · "&amp;E17)</f>
      </c>
      <c r="C17" s="46"/>
      <c r="D17" s="46"/>
      <c r="E17" s="46"/>
      <c r="F17" s="49"/>
      <c r="G17" s="49"/>
      <c r="H17" s="46"/>
      <c r="I17" s="46"/>
      <c r="J17" s="48">
        <f>IF(OR(C17="",D17=""),"",IF(LEFT(D17,LEN(LEFT(C17,FIND(" ·",C17&amp;" ·")-1))+1)&lt;&gt;LEFT(C17,FIND(" ·",C17&amp;" ·")-1)&amp;".","⚠ N° hors phase",IF(AND(F17&lt;&gt;"",G17&lt;&gt;"",G17&lt;F17),"⚠ Fin avant début",IF(AND(F17&lt;&gt;"",IFERROR(F17&lt;INDEX('07 Phases'!$F$9:$F$38,MATCH(C17,'07 Phases'!$B$9:$B$38,0)),FALSE)),"◔ Début avant la phase",IF(AND(G17&lt;&gt;"",IFERROR(G17&gt;INDEX('07 Phases'!$G$9:$G$38,MATCH(C17,'07 Phases'!$B$9:$B$38,0)),FALSE)),"◔ Fin après la phase","✓")))))</f>
      </c>
    </row>
    <row r="18" ht="21" customHeight="1" spans="2:10" x14ac:dyDescent="0.25">
      <c r="B18" s="47">
        <f>IF(D18="","",D18&amp;" · "&amp;E18)</f>
      </c>
      <c r="C18" s="46"/>
      <c r="D18" s="46"/>
      <c r="E18" s="46"/>
      <c r="F18" s="49"/>
      <c r="G18" s="49"/>
      <c r="H18" s="46"/>
      <c r="I18" s="46"/>
      <c r="J18" s="48">
        <f>IF(OR(C18="",D18=""),"",IF(LEFT(D18,LEN(LEFT(C18,FIND(" ·",C18&amp;" ·")-1))+1)&lt;&gt;LEFT(C18,FIND(" ·",C18&amp;" ·")-1)&amp;".","⚠ N° hors phase",IF(AND(F18&lt;&gt;"",G18&lt;&gt;"",G18&lt;F18),"⚠ Fin avant début",IF(AND(F18&lt;&gt;"",IFERROR(F18&lt;INDEX('07 Phases'!$F$9:$F$38,MATCH(C18,'07 Phases'!$B$9:$B$38,0)),FALSE)),"◔ Début avant la phase",IF(AND(G18&lt;&gt;"",IFERROR(G18&gt;INDEX('07 Phases'!$G$9:$G$38,MATCH(C18,'07 Phases'!$B$9:$B$38,0)),FALSE)),"◔ Fin après la phase","✓")))))</f>
      </c>
    </row>
    <row r="19" ht="21" customHeight="1" spans="2:10" x14ac:dyDescent="0.25">
      <c r="B19" s="47">
        <f>IF(D19="","",D19&amp;" · "&amp;E19)</f>
      </c>
      <c r="C19" s="46"/>
      <c r="D19" s="46"/>
      <c r="E19" s="46"/>
      <c r="F19" s="49"/>
      <c r="G19" s="49"/>
      <c r="H19" s="46"/>
      <c r="I19" s="46"/>
      <c r="J19" s="48">
        <f>IF(OR(C19="",D19=""),"",IF(LEFT(D19,LEN(LEFT(C19,FIND(" ·",C19&amp;" ·")-1))+1)&lt;&gt;LEFT(C19,FIND(" ·",C19&amp;" ·")-1)&amp;".","⚠ N° hors phase",IF(AND(F19&lt;&gt;"",G19&lt;&gt;"",G19&lt;F19),"⚠ Fin avant début",IF(AND(F19&lt;&gt;"",IFERROR(F19&lt;INDEX('07 Phases'!$F$9:$F$38,MATCH(C19,'07 Phases'!$B$9:$B$38,0)),FALSE)),"◔ Début avant la phase",IF(AND(G19&lt;&gt;"",IFERROR(G19&gt;INDEX('07 Phases'!$G$9:$G$38,MATCH(C19,'07 Phases'!$B$9:$B$38,0)),FALSE)),"◔ Fin après la phase","✓")))))</f>
      </c>
    </row>
    <row r="20" ht="21" customHeight="1" spans="2:10" x14ac:dyDescent="0.25">
      <c r="B20" s="47">
        <f>IF(D20="","",D20&amp;" · "&amp;E20)</f>
      </c>
      <c r="C20" s="46"/>
      <c r="D20" s="46"/>
      <c r="E20" s="46"/>
      <c r="F20" s="49"/>
      <c r="G20" s="49"/>
      <c r="H20" s="46"/>
      <c r="I20" s="46"/>
      <c r="J20" s="48">
        <f>IF(OR(C20="",D20=""),"",IF(LEFT(D20,LEN(LEFT(C20,FIND(" ·",C20&amp;" ·")-1))+1)&lt;&gt;LEFT(C20,FIND(" ·",C20&amp;" ·")-1)&amp;".","⚠ N° hors phase",IF(AND(F20&lt;&gt;"",G20&lt;&gt;"",G20&lt;F20),"⚠ Fin avant début",IF(AND(F20&lt;&gt;"",IFERROR(F20&lt;INDEX('07 Phases'!$F$9:$F$38,MATCH(C20,'07 Phases'!$B$9:$B$38,0)),FALSE)),"◔ Début avant la phase",IF(AND(G20&lt;&gt;"",IFERROR(G20&gt;INDEX('07 Phases'!$G$9:$G$38,MATCH(C20,'07 Phases'!$B$9:$B$38,0)),FALSE)),"◔ Fin après la phase","✓")))))</f>
      </c>
    </row>
    <row r="21" ht="21" customHeight="1" spans="2:10" x14ac:dyDescent="0.25">
      <c r="B21" s="47">
        <f>IF(D21="","",D21&amp;" · "&amp;E21)</f>
      </c>
      <c r="C21" s="46"/>
      <c r="D21" s="46"/>
      <c r="E21" s="46"/>
      <c r="F21" s="49"/>
      <c r="G21" s="49"/>
      <c r="H21" s="46"/>
      <c r="I21" s="46"/>
      <c r="J21" s="48">
        <f>IF(OR(C21="",D21=""),"",IF(LEFT(D21,LEN(LEFT(C21,FIND(" ·",C21&amp;" ·")-1))+1)&lt;&gt;LEFT(C21,FIND(" ·",C21&amp;" ·")-1)&amp;".","⚠ N° hors phase",IF(AND(F21&lt;&gt;"",G21&lt;&gt;"",G21&lt;F21),"⚠ Fin avant début",IF(AND(F21&lt;&gt;"",IFERROR(F21&lt;INDEX('07 Phases'!$F$9:$F$38,MATCH(C21,'07 Phases'!$B$9:$B$38,0)),FALSE)),"◔ Début avant la phase",IF(AND(G21&lt;&gt;"",IFERROR(G21&gt;INDEX('07 Phases'!$G$9:$G$38,MATCH(C21,'07 Phases'!$B$9:$B$38,0)),FALSE)),"◔ Fin après la phase","✓")))))</f>
      </c>
    </row>
    <row r="22" ht="21" customHeight="1" spans="2:10" x14ac:dyDescent="0.25">
      <c r="B22" s="47">
        <f>IF(D22="","",D22&amp;" · "&amp;E22)</f>
      </c>
      <c r="C22" s="46"/>
      <c r="D22" s="46"/>
      <c r="E22" s="46"/>
      <c r="F22" s="49"/>
      <c r="G22" s="49"/>
      <c r="H22" s="46"/>
      <c r="I22" s="46"/>
      <c r="J22" s="48">
        <f>IF(OR(C22="",D22=""),"",IF(LEFT(D22,LEN(LEFT(C22,FIND(" ·",C22&amp;" ·")-1))+1)&lt;&gt;LEFT(C22,FIND(" ·",C22&amp;" ·")-1)&amp;".","⚠ N° hors phase",IF(AND(F22&lt;&gt;"",G22&lt;&gt;"",G22&lt;F22),"⚠ Fin avant début",IF(AND(F22&lt;&gt;"",IFERROR(F22&lt;INDEX('07 Phases'!$F$9:$F$38,MATCH(C22,'07 Phases'!$B$9:$B$38,0)),FALSE)),"◔ Début avant la phase",IF(AND(G22&lt;&gt;"",IFERROR(G22&gt;INDEX('07 Phases'!$G$9:$G$38,MATCH(C22,'07 Phases'!$B$9:$B$38,0)),FALSE)),"◔ Fin après la phase","✓")))))</f>
      </c>
    </row>
    <row r="23" ht="21" customHeight="1" spans="2:10" x14ac:dyDescent="0.25">
      <c r="B23" s="47">
        <f>IF(D23="","",D23&amp;" · "&amp;E23)</f>
      </c>
      <c r="C23" s="46"/>
      <c r="D23" s="46"/>
      <c r="E23" s="46"/>
      <c r="F23" s="49"/>
      <c r="G23" s="49"/>
      <c r="H23" s="46"/>
      <c r="I23" s="46"/>
      <c r="J23" s="48">
        <f>IF(OR(C23="",D23=""),"",IF(LEFT(D23,LEN(LEFT(C23,FIND(" ·",C23&amp;" ·")-1))+1)&lt;&gt;LEFT(C23,FIND(" ·",C23&amp;" ·")-1)&amp;".","⚠ N° hors phase",IF(AND(F23&lt;&gt;"",G23&lt;&gt;"",G23&lt;F23),"⚠ Fin avant début",IF(AND(F23&lt;&gt;"",IFERROR(F23&lt;INDEX('07 Phases'!$F$9:$F$38,MATCH(C23,'07 Phases'!$B$9:$B$38,0)),FALSE)),"◔ Début avant la phase",IF(AND(G23&lt;&gt;"",IFERROR(G23&gt;INDEX('07 Phases'!$G$9:$G$38,MATCH(C23,'07 Phases'!$B$9:$B$38,0)),FALSE)),"◔ Fin après la phase","✓")))))</f>
      </c>
    </row>
    <row r="24" ht="21" customHeight="1" spans="2:10" x14ac:dyDescent="0.25">
      <c r="B24" s="47">
        <f>IF(D24="","",D24&amp;" · "&amp;E24)</f>
      </c>
      <c r="C24" s="46"/>
      <c r="D24" s="46"/>
      <c r="E24" s="46"/>
      <c r="F24" s="49"/>
      <c r="G24" s="49"/>
      <c r="H24" s="46"/>
      <c r="I24" s="46"/>
      <c r="J24" s="48">
        <f>IF(OR(C24="",D24=""),"",IF(LEFT(D24,LEN(LEFT(C24,FIND(" ·",C24&amp;" ·")-1))+1)&lt;&gt;LEFT(C24,FIND(" ·",C24&amp;" ·")-1)&amp;".","⚠ N° hors phase",IF(AND(F24&lt;&gt;"",G24&lt;&gt;"",G24&lt;F24),"⚠ Fin avant début",IF(AND(F24&lt;&gt;"",IFERROR(F24&lt;INDEX('07 Phases'!$F$9:$F$38,MATCH(C24,'07 Phases'!$B$9:$B$38,0)),FALSE)),"◔ Début avant la phase",IF(AND(G24&lt;&gt;"",IFERROR(G24&gt;INDEX('07 Phases'!$G$9:$G$38,MATCH(C24,'07 Phases'!$B$9:$B$38,0)),FALSE)),"◔ Fin après la phase","✓")))))</f>
      </c>
    </row>
    <row r="25" ht="21" customHeight="1" spans="2:10" x14ac:dyDescent="0.25">
      <c r="B25" s="47">
        <f>IF(D25="","",D25&amp;" · "&amp;E25)</f>
      </c>
      <c r="C25" s="46"/>
      <c r="D25" s="46"/>
      <c r="E25" s="46"/>
      <c r="F25" s="49"/>
      <c r="G25" s="49"/>
      <c r="H25" s="46"/>
      <c r="I25" s="46"/>
      <c r="J25" s="48">
        <f>IF(OR(C25="",D25=""),"",IF(LEFT(D25,LEN(LEFT(C25,FIND(" ·",C25&amp;" ·")-1))+1)&lt;&gt;LEFT(C25,FIND(" ·",C25&amp;" ·")-1)&amp;".","⚠ N° hors phase",IF(AND(F25&lt;&gt;"",G25&lt;&gt;"",G25&lt;F25),"⚠ Fin avant début",IF(AND(F25&lt;&gt;"",IFERROR(F25&lt;INDEX('07 Phases'!$F$9:$F$38,MATCH(C25,'07 Phases'!$B$9:$B$38,0)),FALSE)),"◔ Début avant la phase",IF(AND(G25&lt;&gt;"",IFERROR(G25&gt;INDEX('07 Phases'!$G$9:$G$38,MATCH(C25,'07 Phases'!$B$9:$B$38,0)),FALSE)),"◔ Fin après la phase","✓")))))</f>
      </c>
    </row>
    <row r="26" ht="21" customHeight="1" spans="2:10" x14ac:dyDescent="0.25">
      <c r="B26" s="47">
        <f>IF(D26="","",D26&amp;" · "&amp;E26)</f>
      </c>
      <c r="C26" s="46"/>
      <c r="D26" s="46"/>
      <c r="E26" s="46"/>
      <c r="F26" s="49"/>
      <c r="G26" s="49"/>
      <c r="H26" s="46"/>
      <c r="I26" s="46"/>
      <c r="J26" s="48">
        <f>IF(OR(C26="",D26=""),"",IF(LEFT(D26,LEN(LEFT(C26,FIND(" ·",C26&amp;" ·")-1))+1)&lt;&gt;LEFT(C26,FIND(" ·",C26&amp;" ·")-1)&amp;".","⚠ N° hors phase",IF(AND(F26&lt;&gt;"",G26&lt;&gt;"",G26&lt;F26),"⚠ Fin avant début",IF(AND(F26&lt;&gt;"",IFERROR(F26&lt;INDEX('07 Phases'!$F$9:$F$38,MATCH(C26,'07 Phases'!$B$9:$B$38,0)),FALSE)),"◔ Début avant la phase",IF(AND(G26&lt;&gt;"",IFERROR(G26&gt;INDEX('07 Phases'!$G$9:$G$38,MATCH(C26,'07 Phases'!$B$9:$B$38,0)),FALSE)),"◔ Fin après la phase","✓")))))</f>
      </c>
    </row>
    <row r="27" ht="21" customHeight="1" spans="2:10" x14ac:dyDescent="0.25">
      <c r="B27" s="47">
        <f>IF(D27="","",D27&amp;" · "&amp;E27)</f>
      </c>
      <c r="C27" s="46"/>
      <c r="D27" s="46"/>
      <c r="E27" s="46"/>
      <c r="F27" s="49"/>
      <c r="G27" s="49"/>
      <c r="H27" s="46"/>
      <c r="I27" s="46"/>
      <c r="J27" s="48">
        <f>IF(OR(C27="",D27=""),"",IF(LEFT(D27,LEN(LEFT(C27,FIND(" ·",C27&amp;" ·")-1))+1)&lt;&gt;LEFT(C27,FIND(" ·",C27&amp;" ·")-1)&amp;".","⚠ N° hors phase",IF(AND(F27&lt;&gt;"",G27&lt;&gt;"",G27&lt;F27),"⚠ Fin avant début",IF(AND(F27&lt;&gt;"",IFERROR(F27&lt;INDEX('07 Phases'!$F$9:$F$38,MATCH(C27,'07 Phases'!$B$9:$B$38,0)),FALSE)),"◔ Début avant la phase",IF(AND(G27&lt;&gt;"",IFERROR(G27&gt;INDEX('07 Phases'!$G$9:$G$38,MATCH(C27,'07 Phases'!$B$9:$B$38,0)),FALSE)),"◔ Fin après la phase","✓")))))</f>
      </c>
    </row>
    <row r="28" ht="21" customHeight="1" spans="2:10" x14ac:dyDescent="0.25">
      <c r="B28" s="47">
        <f>IF(D28="","",D28&amp;" · "&amp;E28)</f>
      </c>
      <c r="C28" s="46"/>
      <c r="D28" s="46"/>
      <c r="E28" s="46"/>
      <c r="F28" s="49"/>
      <c r="G28" s="49"/>
      <c r="H28" s="46"/>
      <c r="I28" s="46"/>
      <c r="J28" s="48">
        <f>IF(OR(C28="",D28=""),"",IF(LEFT(D28,LEN(LEFT(C28,FIND(" ·",C28&amp;" ·")-1))+1)&lt;&gt;LEFT(C28,FIND(" ·",C28&amp;" ·")-1)&amp;".","⚠ N° hors phase",IF(AND(F28&lt;&gt;"",G28&lt;&gt;"",G28&lt;F28),"⚠ Fin avant début",IF(AND(F28&lt;&gt;"",IFERROR(F28&lt;INDEX('07 Phases'!$F$9:$F$38,MATCH(C28,'07 Phases'!$B$9:$B$38,0)),FALSE)),"◔ Début avant la phase",IF(AND(G28&lt;&gt;"",IFERROR(G28&gt;INDEX('07 Phases'!$G$9:$G$38,MATCH(C28,'07 Phases'!$B$9:$B$38,0)),FALSE)),"◔ Fin après la phase","✓")))))</f>
      </c>
    </row>
    <row r="29" ht="21" customHeight="1" spans="2:10" x14ac:dyDescent="0.25">
      <c r="B29" s="47">
        <f>IF(D29="","",D29&amp;" · "&amp;E29)</f>
      </c>
      <c r="C29" s="46"/>
      <c r="D29" s="46"/>
      <c r="E29" s="46"/>
      <c r="F29" s="49"/>
      <c r="G29" s="49"/>
      <c r="H29" s="46"/>
      <c r="I29" s="46"/>
      <c r="J29" s="48">
        <f>IF(OR(C29="",D29=""),"",IF(LEFT(D29,LEN(LEFT(C29,FIND(" ·",C29&amp;" ·")-1))+1)&lt;&gt;LEFT(C29,FIND(" ·",C29&amp;" ·")-1)&amp;".","⚠ N° hors phase",IF(AND(F29&lt;&gt;"",G29&lt;&gt;"",G29&lt;F29),"⚠ Fin avant début",IF(AND(F29&lt;&gt;"",IFERROR(F29&lt;INDEX('07 Phases'!$F$9:$F$38,MATCH(C29,'07 Phases'!$B$9:$B$38,0)),FALSE)),"◔ Début avant la phase",IF(AND(G29&lt;&gt;"",IFERROR(G29&gt;INDEX('07 Phases'!$G$9:$G$38,MATCH(C29,'07 Phases'!$B$9:$B$38,0)),FALSE)),"◔ Fin après la phase","✓")))))</f>
      </c>
    </row>
    <row r="30" ht="21" customHeight="1" spans="2:10" x14ac:dyDescent="0.25">
      <c r="B30" s="47">
        <f>IF(D30="","",D30&amp;" · "&amp;E30)</f>
      </c>
      <c r="C30" s="46"/>
      <c r="D30" s="46"/>
      <c r="E30" s="46"/>
      <c r="F30" s="49"/>
      <c r="G30" s="49"/>
      <c r="H30" s="46"/>
      <c r="I30" s="46"/>
      <c r="J30" s="48">
        <f>IF(OR(C30="",D30=""),"",IF(LEFT(D30,LEN(LEFT(C30,FIND(" ·",C30&amp;" ·")-1))+1)&lt;&gt;LEFT(C30,FIND(" ·",C30&amp;" ·")-1)&amp;".","⚠ N° hors phase",IF(AND(F30&lt;&gt;"",G30&lt;&gt;"",G30&lt;F30),"⚠ Fin avant début",IF(AND(F30&lt;&gt;"",IFERROR(F30&lt;INDEX('07 Phases'!$F$9:$F$38,MATCH(C30,'07 Phases'!$B$9:$B$38,0)),FALSE)),"◔ Début avant la phase",IF(AND(G30&lt;&gt;"",IFERROR(G30&gt;INDEX('07 Phases'!$G$9:$G$38,MATCH(C30,'07 Phases'!$B$9:$B$38,0)),FALSE)),"◔ Fin après la phase","✓")))))</f>
      </c>
    </row>
    <row r="31" ht="21" customHeight="1" spans="2:10" x14ac:dyDescent="0.25">
      <c r="B31" s="47">
        <f>IF(D31="","",D31&amp;" · "&amp;E31)</f>
      </c>
      <c r="C31" s="46"/>
      <c r="D31" s="46"/>
      <c r="E31" s="46"/>
      <c r="F31" s="49"/>
      <c r="G31" s="49"/>
      <c r="H31" s="46"/>
      <c r="I31" s="46"/>
      <c r="J31" s="48">
        <f>IF(OR(C31="",D31=""),"",IF(LEFT(D31,LEN(LEFT(C31,FIND(" ·",C31&amp;" ·")-1))+1)&lt;&gt;LEFT(C31,FIND(" ·",C31&amp;" ·")-1)&amp;".","⚠ N° hors phase",IF(AND(F31&lt;&gt;"",G31&lt;&gt;"",G31&lt;F31),"⚠ Fin avant début",IF(AND(F31&lt;&gt;"",IFERROR(F31&lt;INDEX('07 Phases'!$F$9:$F$38,MATCH(C31,'07 Phases'!$B$9:$B$38,0)),FALSE)),"◔ Début avant la phase",IF(AND(G31&lt;&gt;"",IFERROR(G31&gt;INDEX('07 Phases'!$G$9:$G$38,MATCH(C31,'07 Phases'!$B$9:$B$38,0)),FALSE)),"◔ Fin après la phase","✓")))))</f>
      </c>
    </row>
    <row r="32" ht="21" customHeight="1" spans="2:10" x14ac:dyDescent="0.25">
      <c r="B32" s="47">
        <f>IF(D32="","",D32&amp;" · "&amp;E32)</f>
      </c>
      <c r="C32" s="46"/>
      <c r="D32" s="46"/>
      <c r="E32" s="46"/>
      <c r="F32" s="49"/>
      <c r="G32" s="49"/>
      <c r="H32" s="46"/>
      <c r="I32" s="46"/>
      <c r="J32" s="48">
        <f>IF(OR(C32="",D32=""),"",IF(LEFT(D32,LEN(LEFT(C32,FIND(" ·",C32&amp;" ·")-1))+1)&lt;&gt;LEFT(C32,FIND(" ·",C32&amp;" ·")-1)&amp;".","⚠ N° hors phase",IF(AND(F32&lt;&gt;"",G32&lt;&gt;"",G32&lt;F32),"⚠ Fin avant début",IF(AND(F32&lt;&gt;"",IFERROR(F32&lt;INDEX('07 Phases'!$F$9:$F$38,MATCH(C32,'07 Phases'!$B$9:$B$38,0)),FALSE)),"◔ Début avant la phase",IF(AND(G32&lt;&gt;"",IFERROR(G32&gt;INDEX('07 Phases'!$G$9:$G$38,MATCH(C32,'07 Phases'!$B$9:$B$38,0)),FALSE)),"◔ Fin après la phase","✓")))))</f>
      </c>
    </row>
    <row r="33" ht="21" customHeight="1" spans="2:10" x14ac:dyDescent="0.25">
      <c r="B33" s="47">
        <f>IF(D33="","",D33&amp;" · "&amp;E33)</f>
      </c>
      <c r="C33" s="46"/>
      <c r="D33" s="46"/>
      <c r="E33" s="46"/>
      <c r="F33" s="49"/>
      <c r="G33" s="49"/>
      <c r="H33" s="46"/>
      <c r="I33" s="46"/>
      <c r="J33" s="48">
        <f>IF(OR(C33="",D33=""),"",IF(LEFT(D33,LEN(LEFT(C33,FIND(" ·",C33&amp;" ·")-1))+1)&lt;&gt;LEFT(C33,FIND(" ·",C33&amp;" ·")-1)&amp;".","⚠ N° hors phase",IF(AND(F33&lt;&gt;"",G33&lt;&gt;"",G33&lt;F33),"⚠ Fin avant début",IF(AND(F33&lt;&gt;"",IFERROR(F33&lt;INDEX('07 Phases'!$F$9:$F$38,MATCH(C33,'07 Phases'!$B$9:$B$38,0)),FALSE)),"◔ Début avant la phase",IF(AND(G33&lt;&gt;"",IFERROR(G33&gt;INDEX('07 Phases'!$G$9:$G$38,MATCH(C33,'07 Phases'!$B$9:$B$38,0)),FALSE)),"◔ Fin après la phase","✓")))))</f>
      </c>
    </row>
    <row r="34" ht="21" customHeight="1" spans="2:10" x14ac:dyDescent="0.25">
      <c r="B34" s="47">
        <f>IF(D34="","",D34&amp;" · "&amp;E34)</f>
      </c>
      <c r="C34" s="46"/>
      <c r="D34" s="46"/>
      <c r="E34" s="46"/>
      <c r="F34" s="49"/>
      <c r="G34" s="49"/>
      <c r="H34" s="46"/>
      <c r="I34" s="46"/>
      <c r="J34" s="48">
        <f>IF(OR(C34="",D34=""),"",IF(LEFT(D34,LEN(LEFT(C34,FIND(" ·",C34&amp;" ·")-1))+1)&lt;&gt;LEFT(C34,FIND(" ·",C34&amp;" ·")-1)&amp;".","⚠ N° hors phase",IF(AND(F34&lt;&gt;"",G34&lt;&gt;"",G34&lt;F34),"⚠ Fin avant début",IF(AND(F34&lt;&gt;"",IFERROR(F34&lt;INDEX('07 Phases'!$F$9:$F$38,MATCH(C34,'07 Phases'!$B$9:$B$38,0)),FALSE)),"◔ Début avant la phase",IF(AND(G34&lt;&gt;"",IFERROR(G34&gt;INDEX('07 Phases'!$G$9:$G$38,MATCH(C34,'07 Phases'!$B$9:$B$38,0)),FALSE)),"◔ Fin après la phase","✓")))))</f>
      </c>
    </row>
    <row r="35" ht="21" customHeight="1" spans="2:10" x14ac:dyDescent="0.25">
      <c r="B35" s="47">
        <f>IF(D35="","",D35&amp;" · "&amp;E35)</f>
      </c>
      <c r="C35" s="46"/>
      <c r="D35" s="46"/>
      <c r="E35" s="46"/>
      <c r="F35" s="49"/>
      <c r="G35" s="49"/>
      <c r="H35" s="46"/>
      <c r="I35" s="46"/>
      <c r="J35" s="48">
        <f>IF(OR(C35="",D35=""),"",IF(LEFT(D35,LEN(LEFT(C35,FIND(" ·",C35&amp;" ·")-1))+1)&lt;&gt;LEFT(C35,FIND(" ·",C35&amp;" ·")-1)&amp;".","⚠ N° hors phase",IF(AND(F35&lt;&gt;"",G35&lt;&gt;"",G35&lt;F35),"⚠ Fin avant début",IF(AND(F35&lt;&gt;"",IFERROR(F35&lt;INDEX('07 Phases'!$F$9:$F$38,MATCH(C35,'07 Phases'!$B$9:$B$38,0)),FALSE)),"◔ Début avant la phase",IF(AND(G35&lt;&gt;"",IFERROR(G35&gt;INDEX('07 Phases'!$G$9:$G$38,MATCH(C35,'07 Phases'!$B$9:$B$38,0)),FALSE)),"◔ Fin après la phase","✓")))))</f>
      </c>
    </row>
    <row r="36" ht="21" customHeight="1" spans="2:10" x14ac:dyDescent="0.25">
      <c r="B36" s="47">
        <f>IF(D36="","",D36&amp;" · "&amp;E36)</f>
      </c>
      <c r="C36" s="46"/>
      <c r="D36" s="46"/>
      <c r="E36" s="46"/>
      <c r="F36" s="49"/>
      <c r="G36" s="49"/>
      <c r="H36" s="46"/>
      <c r="I36" s="46"/>
      <c r="J36" s="48">
        <f>IF(OR(C36="",D36=""),"",IF(LEFT(D36,LEN(LEFT(C36,FIND(" ·",C36&amp;" ·")-1))+1)&lt;&gt;LEFT(C36,FIND(" ·",C36&amp;" ·")-1)&amp;".","⚠ N° hors phase",IF(AND(F36&lt;&gt;"",G36&lt;&gt;"",G36&lt;F36),"⚠ Fin avant début",IF(AND(F36&lt;&gt;"",IFERROR(F36&lt;INDEX('07 Phases'!$F$9:$F$38,MATCH(C36,'07 Phases'!$B$9:$B$38,0)),FALSE)),"◔ Début avant la phase",IF(AND(G36&lt;&gt;"",IFERROR(G36&gt;INDEX('07 Phases'!$G$9:$G$38,MATCH(C36,'07 Phases'!$B$9:$B$38,0)),FALSE)),"◔ Fin après la phase","✓")))))</f>
      </c>
    </row>
    <row r="37" ht="21" customHeight="1" spans="2:10" x14ac:dyDescent="0.25">
      <c r="B37" s="47">
        <f>IF(D37="","",D37&amp;" · "&amp;E37)</f>
      </c>
      <c r="C37" s="46"/>
      <c r="D37" s="46"/>
      <c r="E37" s="46"/>
      <c r="F37" s="49"/>
      <c r="G37" s="49"/>
      <c r="H37" s="46"/>
      <c r="I37" s="46"/>
      <c r="J37" s="48">
        <f>IF(OR(C37="",D37=""),"",IF(LEFT(D37,LEN(LEFT(C37,FIND(" ·",C37&amp;" ·")-1))+1)&lt;&gt;LEFT(C37,FIND(" ·",C37&amp;" ·")-1)&amp;".","⚠ N° hors phase",IF(AND(F37&lt;&gt;"",G37&lt;&gt;"",G37&lt;F37),"⚠ Fin avant début",IF(AND(F37&lt;&gt;"",IFERROR(F37&lt;INDEX('07 Phases'!$F$9:$F$38,MATCH(C37,'07 Phases'!$B$9:$B$38,0)),FALSE)),"◔ Début avant la phase",IF(AND(G37&lt;&gt;"",IFERROR(G37&gt;INDEX('07 Phases'!$G$9:$G$38,MATCH(C37,'07 Phases'!$B$9:$B$38,0)),FALSE)),"◔ Fin après la phase","✓")))))</f>
      </c>
    </row>
    <row r="38" ht="21" customHeight="1" spans="2:10" x14ac:dyDescent="0.25">
      <c r="B38" s="47">
        <f>IF(D38="","",D38&amp;" · "&amp;E38)</f>
      </c>
      <c r="C38" s="46"/>
      <c r="D38" s="46"/>
      <c r="E38" s="46"/>
      <c r="F38" s="49"/>
      <c r="G38" s="49"/>
      <c r="H38" s="46"/>
      <c r="I38" s="46"/>
      <c r="J38" s="48">
        <f>IF(OR(C38="",D38=""),"",IF(LEFT(D38,LEN(LEFT(C38,FIND(" ·",C38&amp;" ·")-1))+1)&lt;&gt;LEFT(C38,FIND(" ·",C38&amp;" ·")-1)&amp;".","⚠ N° hors phase",IF(AND(F38&lt;&gt;"",G38&lt;&gt;"",G38&lt;F38),"⚠ Fin avant début",IF(AND(F38&lt;&gt;"",IFERROR(F38&lt;INDEX('07 Phases'!$F$9:$F$38,MATCH(C38,'07 Phases'!$B$9:$B$38,0)),FALSE)),"◔ Début avant la phase",IF(AND(G38&lt;&gt;"",IFERROR(G38&gt;INDEX('07 Phases'!$G$9:$G$38,MATCH(C38,'07 Phases'!$B$9:$B$38,0)),FALSE)),"◔ Fin après la phase","✓")))))</f>
      </c>
    </row>
    <row r="39" ht="21" customHeight="1" spans="2:10" x14ac:dyDescent="0.25">
      <c r="B39" s="47">
        <f>IF(D39="","",D39&amp;" · "&amp;E39)</f>
      </c>
      <c r="C39" s="46"/>
      <c r="D39" s="46"/>
      <c r="E39" s="46"/>
      <c r="F39" s="49"/>
      <c r="G39" s="49"/>
      <c r="H39" s="46"/>
      <c r="I39" s="46"/>
      <c r="J39" s="48">
        <f>IF(OR(C39="",D39=""),"",IF(LEFT(D39,LEN(LEFT(C39,FIND(" ·",C39&amp;" ·")-1))+1)&lt;&gt;LEFT(C39,FIND(" ·",C39&amp;" ·")-1)&amp;".","⚠ N° hors phase",IF(AND(F39&lt;&gt;"",G39&lt;&gt;"",G39&lt;F39),"⚠ Fin avant début",IF(AND(F39&lt;&gt;"",IFERROR(F39&lt;INDEX('07 Phases'!$F$9:$F$38,MATCH(C39,'07 Phases'!$B$9:$B$38,0)),FALSE)),"◔ Début avant la phase",IF(AND(G39&lt;&gt;"",IFERROR(G39&gt;INDEX('07 Phases'!$G$9:$G$38,MATCH(C39,'07 Phases'!$B$9:$B$38,0)),FALSE)),"◔ Fin après la phase","✓")))))</f>
      </c>
    </row>
    <row r="40" ht="21" customHeight="1" spans="2:10" x14ac:dyDescent="0.25">
      <c r="B40" s="47">
        <f>IF(D40="","",D40&amp;" · "&amp;E40)</f>
      </c>
      <c r="C40" s="46"/>
      <c r="D40" s="46"/>
      <c r="E40" s="46"/>
      <c r="F40" s="49"/>
      <c r="G40" s="49"/>
      <c r="H40" s="46"/>
      <c r="I40" s="46"/>
      <c r="J40" s="48">
        <f>IF(OR(C40="",D40=""),"",IF(LEFT(D40,LEN(LEFT(C40,FIND(" ·",C40&amp;" ·")-1))+1)&lt;&gt;LEFT(C40,FIND(" ·",C40&amp;" ·")-1)&amp;".","⚠ N° hors phase",IF(AND(F40&lt;&gt;"",G40&lt;&gt;"",G40&lt;F40),"⚠ Fin avant début",IF(AND(F40&lt;&gt;"",IFERROR(F40&lt;INDEX('07 Phases'!$F$9:$F$38,MATCH(C40,'07 Phases'!$B$9:$B$38,0)),FALSE)),"◔ Début avant la phase",IF(AND(G40&lt;&gt;"",IFERROR(G40&gt;INDEX('07 Phases'!$G$9:$G$38,MATCH(C40,'07 Phases'!$B$9:$B$38,0)),FALSE)),"◔ Fin après la phase","✓")))))</f>
      </c>
    </row>
    <row r="41" ht="21" customHeight="1" spans="2:10" x14ac:dyDescent="0.25">
      <c r="B41" s="47">
        <f>IF(D41="","",D41&amp;" · "&amp;E41)</f>
      </c>
      <c r="C41" s="46"/>
      <c r="D41" s="46"/>
      <c r="E41" s="46"/>
      <c r="F41" s="49"/>
      <c r="G41" s="49"/>
      <c r="H41" s="46"/>
      <c r="I41" s="46"/>
      <c r="J41" s="48">
        <f>IF(OR(C41="",D41=""),"",IF(LEFT(D41,LEN(LEFT(C41,FIND(" ·",C41&amp;" ·")-1))+1)&lt;&gt;LEFT(C41,FIND(" ·",C41&amp;" ·")-1)&amp;".","⚠ N° hors phase",IF(AND(F41&lt;&gt;"",G41&lt;&gt;"",G41&lt;F41),"⚠ Fin avant début",IF(AND(F41&lt;&gt;"",IFERROR(F41&lt;INDEX('07 Phases'!$F$9:$F$38,MATCH(C41,'07 Phases'!$B$9:$B$38,0)),FALSE)),"◔ Début avant la phase",IF(AND(G41&lt;&gt;"",IFERROR(G41&gt;INDEX('07 Phases'!$G$9:$G$38,MATCH(C41,'07 Phases'!$B$9:$B$38,0)),FALSE)),"◔ Fin après la phase","✓")))))</f>
      </c>
    </row>
    <row r="42" ht="21" customHeight="1" spans="2:10" x14ac:dyDescent="0.25">
      <c r="B42" s="47">
        <f>IF(D42="","",D42&amp;" · "&amp;E42)</f>
      </c>
      <c r="C42" s="46"/>
      <c r="D42" s="46"/>
      <c r="E42" s="46"/>
      <c r="F42" s="49"/>
      <c r="G42" s="49"/>
      <c r="H42" s="46"/>
      <c r="I42" s="46"/>
      <c r="J42" s="48">
        <f>IF(OR(C42="",D42=""),"",IF(LEFT(D42,LEN(LEFT(C42,FIND(" ·",C42&amp;" ·")-1))+1)&lt;&gt;LEFT(C42,FIND(" ·",C42&amp;" ·")-1)&amp;".","⚠ N° hors phase",IF(AND(F42&lt;&gt;"",G42&lt;&gt;"",G42&lt;F42),"⚠ Fin avant début",IF(AND(F42&lt;&gt;"",IFERROR(F42&lt;INDEX('07 Phases'!$F$9:$F$38,MATCH(C42,'07 Phases'!$B$9:$B$38,0)),FALSE)),"◔ Début avant la phase",IF(AND(G42&lt;&gt;"",IFERROR(G42&gt;INDEX('07 Phases'!$G$9:$G$38,MATCH(C42,'07 Phases'!$B$9:$B$38,0)),FALSE)),"◔ Fin après la phase","✓")))))</f>
      </c>
    </row>
    <row r="43" ht="21" customHeight="1" spans="2:10" x14ac:dyDescent="0.25">
      <c r="B43" s="47">
        <f>IF(D43="","",D43&amp;" · "&amp;E43)</f>
      </c>
      <c r="C43" s="46"/>
      <c r="D43" s="46"/>
      <c r="E43" s="46"/>
      <c r="F43" s="49"/>
      <c r="G43" s="49"/>
      <c r="H43" s="46"/>
      <c r="I43" s="46"/>
      <c r="J43" s="48">
        <f>IF(OR(C43="",D43=""),"",IF(LEFT(D43,LEN(LEFT(C43,FIND(" ·",C43&amp;" ·")-1))+1)&lt;&gt;LEFT(C43,FIND(" ·",C43&amp;" ·")-1)&amp;".","⚠ N° hors phase",IF(AND(F43&lt;&gt;"",G43&lt;&gt;"",G43&lt;F43),"⚠ Fin avant début",IF(AND(F43&lt;&gt;"",IFERROR(F43&lt;INDEX('07 Phases'!$F$9:$F$38,MATCH(C43,'07 Phases'!$B$9:$B$38,0)),FALSE)),"◔ Début avant la phase",IF(AND(G43&lt;&gt;"",IFERROR(G43&gt;INDEX('07 Phases'!$G$9:$G$38,MATCH(C43,'07 Phases'!$B$9:$B$38,0)),FALSE)),"◔ Fin après la phase","✓")))))</f>
      </c>
    </row>
    <row r="44" ht="21" customHeight="1" spans="2:10" x14ac:dyDescent="0.25">
      <c r="B44" s="47">
        <f>IF(D44="","",D44&amp;" · "&amp;E44)</f>
      </c>
      <c r="C44" s="46"/>
      <c r="D44" s="46"/>
      <c r="E44" s="46"/>
      <c r="F44" s="49"/>
      <c r="G44" s="49"/>
      <c r="H44" s="46"/>
      <c r="I44" s="46"/>
      <c r="J44" s="48">
        <f>IF(OR(C44="",D44=""),"",IF(LEFT(D44,LEN(LEFT(C44,FIND(" ·",C44&amp;" ·")-1))+1)&lt;&gt;LEFT(C44,FIND(" ·",C44&amp;" ·")-1)&amp;".","⚠ N° hors phase",IF(AND(F44&lt;&gt;"",G44&lt;&gt;"",G44&lt;F44),"⚠ Fin avant début",IF(AND(F44&lt;&gt;"",IFERROR(F44&lt;INDEX('07 Phases'!$F$9:$F$38,MATCH(C44,'07 Phases'!$B$9:$B$38,0)),FALSE)),"◔ Début avant la phase",IF(AND(G44&lt;&gt;"",IFERROR(G44&gt;INDEX('07 Phases'!$G$9:$G$38,MATCH(C44,'07 Phases'!$B$9:$B$38,0)),FALSE)),"◔ Fin après la phase","✓")))))</f>
      </c>
    </row>
    <row r="45" ht="21" customHeight="1" spans="2:10" x14ac:dyDescent="0.25">
      <c r="B45" s="47">
        <f>IF(D45="","",D45&amp;" · "&amp;E45)</f>
      </c>
      <c r="C45" s="46"/>
      <c r="D45" s="46"/>
      <c r="E45" s="46"/>
      <c r="F45" s="49"/>
      <c r="G45" s="49"/>
      <c r="H45" s="46"/>
      <c r="I45" s="46"/>
      <c r="J45" s="48">
        <f>IF(OR(C45="",D45=""),"",IF(LEFT(D45,LEN(LEFT(C45,FIND(" ·",C45&amp;" ·")-1))+1)&lt;&gt;LEFT(C45,FIND(" ·",C45&amp;" ·")-1)&amp;".","⚠ N° hors phase",IF(AND(F45&lt;&gt;"",G45&lt;&gt;"",G45&lt;F45),"⚠ Fin avant début",IF(AND(F45&lt;&gt;"",IFERROR(F45&lt;INDEX('07 Phases'!$F$9:$F$38,MATCH(C45,'07 Phases'!$B$9:$B$38,0)),FALSE)),"◔ Début avant la phase",IF(AND(G45&lt;&gt;"",IFERROR(G45&gt;INDEX('07 Phases'!$G$9:$G$38,MATCH(C45,'07 Phases'!$B$9:$B$38,0)),FALSE)),"◔ Fin après la phase","✓")))))</f>
      </c>
    </row>
    <row r="46" ht="21" customHeight="1" spans="2:10" x14ac:dyDescent="0.25">
      <c r="B46" s="47">
        <f>IF(D46="","",D46&amp;" · "&amp;E46)</f>
      </c>
      <c r="C46" s="46"/>
      <c r="D46" s="46"/>
      <c r="E46" s="46"/>
      <c r="F46" s="49"/>
      <c r="G46" s="49"/>
      <c r="H46" s="46"/>
      <c r="I46" s="46"/>
      <c r="J46" s="48">
        <f>IF(OR(C46="",D46=""),"",IF(LEFT(D46,LEN(LEFT(C46,FIND(" ·",C46&amp;" ·")-1))+1)&lt;&gt;LEFT(C46,FIND(" ·",C46&amp;" ·")-1)&amp;".","⚠ N° hors phase",IF(AND(F46&lt;&gt;"",G46&lt;&gt;"",G46&lt;F46),"⚠ Fin avant début",IF(AND(F46&lt;&gt;"",IFERROR(F46&lt;INDEX('07 Phases'!$F$9:$F$38,MATCH(C46,'07 Phases'!$B$9:$B$38,0)),FALSE)),"◔ Début avant la phase",IF(AND(G46&lt;&gt;"",IFERROR(G46&gt;INDEX('07 Phases'!$G$9:$G$38,MATCH(C46,'07 Phases'!$B$9:$B$38,0)),FALSE)),"◔ Fin après la phase","✓")))))</f>
      </c>
    </row>
    <row r="47" ht="21" customHeight="1" spans="2:10" x14ac:dyDescent="0.25">
      <c r="B47" s="47">
        <f>IF(D47="","",D47&amp;" · "&amp;E47)</f>
      </c>
      <c r="C47" s="46"/>
      <c r="D47" s="46"/>
      <c r="E47" s="46"/>
      <c r="F47" s="49"/>
      <c r="G47" s="49"/>
      <c r="H47" s="46"/>
      <c r="I47" s="46"/>
      <c r="J47" s="48">
        <f>IF(OR(C47="",D47=""),"",IF(LEFT(D47,LEN(LEFT(C47,FIND(" ·",C47&amp;" ·")-1))+1)&lt;&gt;LEFT(C47,FIND(" ·",C47&amp;" ·")-1)&amp;".","⚠ N° hors phase",IF(AND(F47&lt;&gt;"",G47&lt;&gt;"",G47&lt;F47),"⚠ Fin avant début",IF(AND(F47&lt;&gt;"",IFERROR(F47&lt;INDEX('07 Phases'!$F$9:$F$38,MATCH(C47,'07 Phases'!$B$9:$B$38,0)),FALSE)),"◔ Début avant la phase",IF(AND(G47&lt;&gt;"",IFERROR(G47&gt;INDEX('07 Phases'!$G$9:$G$38,MATCH(C47,'07 Phases'!$B$9:$B$38,0)),FALSE)),"◔ Fin après la phase","✓")))))</f>
      </c>
    </row>
    <row r="48" ht="21" customHeight="1" spans="2:10" x14ac:dyDescent="0.25">
      <c r="B48" s="47">
        <f>IF(D48="","",D48&amp;" · "&amp;E48)</f>
      </c>
      <c r="C48" s="46"/>
      <c r="D48" s="46"/>
      <c r="E48" s="46"/>
      <c r="F48" s="49"/>
      <c r="G48" s="49"/>
      <c r="H48" s="46"/>
      <c r="I48" s="46"/>
      <c r="J48" s="48">
        <f>IF(OR(C48="",D48=""),"",IF(LEFT(D48,LEN(LEFT(C48,FIND(" ·",C48&amp;" ·")-1))+1)&lt;&gt;LEFT(C48,FIND(" ·",C48&amp;" ·")-1)&amp;".","⚠ N° hors phase",IF(AND(F48&lt;&gt;"",G48&lt;&gt;"",G48&lt;F48),"⚠ Fin avant début",IF(AND(F48&lt;&gt;"",IFERROR(F48&lt;INDEX('07 Phases'!$F$9:$F$38,MATCH(C48,'07 Phases'!$B$9:$B$38,0)),FALSE)),"◔ Début avant la phase",IF(AND(G48&lt;&gt;"",IFERROR(G48&gt;INDEX('07 Phases'!$G$9:$G$38,MATCH(C48,'07 Phases'!$B$9:$B$38,0)),FALSE)),"◔ Fin après la phase","✓")))))</f>
      </c>
    </row>
    <row r="49" ht="21" customHeight="1" spans="2:10" x14ac:dyDescent="0.25">
      <c r="B49" s="47">
        <f>IF(D49="","",D49&amp;" · "&amp;E49)</f>
      </c>
      <c r="C49" s="46"/>
      <c r="D49" s="46"/>
      <c r="E49" s="46"/>
      <c r="F49" s="49"/>
      <c r="G49" s="49"/>
      <c r="H49" s="46"/>
      <c r="I49" s="46"/>
      <c r="J49" s="48">
        <f>IF(OR(C49="",D49=""),"",IF(LEFT(D49,LEN(LEFT(C49,FIND(" ·",C49&amp;" ·")-1))+1)&lt;&gt;LEFT(C49,FIND(" ·",C49&amp;" ·")-1)&amp;".","⚠ N° hors phase",IF(AND(F49&lt;&gt;"",G49&lt;&gt;"",G49&lt;F49),"⚠ Fin avant début",IF(AND(F49&lt;&gt;"",IFERROR(F49&lt;INDEX('07 Phases'!$F$9:$F$38,MATCH(C49,'07 Phases'!$B$9:$B$38,0)),FALSE)),"◔ Début avant la phase",IF(AND(G49&lt;&gt;"",IFERROR(G49&gt;INDEX('07 Phases'!$G$9:$G$38,MATCH(C49,'07 Phases'!$B$9:$B$38,0)),FALSE)),"◔ Fin après la phase","✓")))))</f>
      </c>
    </row>
    <row r="50" ht="21" customHeight="1" spans="2:10" x14ac:dyDescent="0.25">
      <c r="B50" s="47">
        <f>IF(D50="","",D50&amp;" · "&amp;E50)</f>
      </c>
      <c r="C50" s="46"/>
      <c r="D50" s="46"/>
      <c r="E50" s="46"/>
      <c r="F50" s="49"/>
      <c r="G50" s="49"/>
      <c r="H50" s="46"/>
      <c r="I50" s="46"/>
      <c r="J50" s="48">
        <f>IF(OR(C50="",D50=""),"",IF(LEFT(D50,LEN(LEFT(C50,FIND(" ·",C50&amp;" ·")-1))+1)&lt;&gt;LEFT(C50,FIND(" ·",C50&amp;" ·")-1)&amp;".","⚠ N° hors phase",IF(AND(F50&lt;&gt;"",G50&lt;&gt;"",G50&lt;F50),"⚠ Fin avant début",IF(AND(F50&lt;&gt;"",IFERROR(F50&lt;INDEX('07 Phases'!$F$9:$F$38,MATCH(C50,'07 Phases'!$B$9:$B$38,0)),FALSE)),"◔ Début avant la phase",IF(AND(G50&lt;&gt;"",IFERROR(G50&gt;INDEX('07 Phases'!$G$9:$G$38,MATCH(C50,'07 Phases'!$B$9:$B$38,0)),FALSE)),"◔ Fin après la phase","✓")))))</f>
      </c>
    </row>
    <row r="51" ht="21" customHeight="1" spans="2:10" x14ac:dyDescent="0.25">
      <c r="B51" s="47">
        <f>IF(D51="","",D51&amp;" · "&amp;E51)</f>
      </c>
      <c r="C51" s="46"/>
      <c r="D51" s="46"/>
      <c r="E51" s="46"/>
      <c r="F51" s="49"/>
      <c r="G51" s="49"/>
      <c r="H51" s="46"/>
      <c r="I51" s="46"/>
      <c r="J51" s="48">
        <f>IF(OR(C51="",D51=""),"",IF(LEFT(D51,LEN(LEFT(C51,FIND(" ·",C51&amp;" ·")-1))+1)&lt;&gt;LEFT(C51,FIND(" ·",C51&amp;" ·")-1)&amp;".","⚠ N° hors phase",IF(AND(F51&lt;&gt;"",G51&lt;&gt;"",G51&lt;F51),"⚠ Fin avant début",IF(AND(F51&lt;&gt;"",IFERROR(F51&lt;INDEX('07 Phases'!$F$9:$F$38,MATCH(C51,'07 Phases'!$B$9:$B$38,0)),FALSE)),"◔ Début avant la phase",IF(AND(G51&lt;&gt;"",IFERROR(G51&gt;INDEX('07 Phases'!$G$9:$G$38,MATCH(C51,'07 Phases'!$B$9:$B$38,0)),FALSE)),"◔ Fin après la phase","✓")))))</f>
      </c>
    </row>
    <row r="52" ht="21" customHeight="1" spans="2:10" x14ac:dyDescent="0.25">
      <c r="B52" s="47">
        <f>IF(D52="","",D52&amp;" · "&amp;E52)</f>
      </c>
      <c r="C52" s="46"/>
      <c r="D52" s="46"/>
      <c r="E52" s="46"/>
      <c r="F52" s="49"/>
      <c r="G52" s="49"/>
      <c r="H52" s="46"/>
      <c r="I52" s="46"/>
      <c r="J52" s="48">
        <f>IF(OR(C52="",D52=""),"",IF(LEFT(D52,LEN(LEFT(C52,FIND(" ·",C52&amp;" ·")-1))+1)&lt;&gt;LEFT(C52,FIND(" ·",C52&amp;" ·")-1)&amp;".","⚠ N° hors phase",IF(AND(F52&lt;&gt;"",G52&lt;&gt;"",G52&lt;F52),"⚠ Fin avant début",IF(AND(F52&lt;&gt;"",IFERROR(F52&lt;INDEX('07 Phases'!$F$9:$F$38,MATCH(C52,'07 Phases'!$B$9:$B$38,0)),FALSE)),"◔ Début avant la phase",IF(AND(G52&lt;&gt;"",IFERROR(G52&gt;INDEX('07 Phases'!$G$9:$G$38,MATCH(C52,'07 Phases'!$B$9:$B$38,0)),FALSE)),"◔ Fin après la phase","✓")))))</f>
      </c>
    </row>
    <row r="53" ht="21" customHeight="1" spans="2:10" x14ac:dyDescent="0.25">
      <c r="B53" s="47">
        <f>IF(D53="","",D53&amp;" · "&amp;E53)</f>
      </c>
      <c r="C53" s="46"/>
      <c r="D53" s="46"/>
      <c r="E53" s="46"/>
      <c r="F53" s="49"/>
      <c r="G53" s="49"/>
      <c r="H53" s="46"/>
      <c r="I53" s="46"/>
      <c r="J53" s="48">
        <f>IF(OR(C53="",D53=""),"",IF(LEFT(D53,LEN(LEFT(C53,FIND(" ·",C53&amp;" ·")-1))+1)&lt;&gt;LEFT(C53,FIND(" ·",C53&amp;" ·")-1)&amp;".","⚠ N° hors phase",IF(AND(F53&lt;&gt;"",G53&lt;&gt;"",G53&lt;F53),"⚠ Fin avant début",IF(AND(F53&lt;&gt;"",IFERROR(F53&lt;INDEX('07 Phases'!$F$9:$F$38,MATCH(C53,'07 Phases'!$B$9:$B$38,0)),FALSE)),"◔ Début avant la phase",IF(AND(G53&lt;&gt;"",IFERROR(G53&gt;INDEX('07 Phases'!$G$9:$G$38,MATCH(C53,'07 Phases'!$B$9:$B$38,0)),FALSE)),"◔ Fin après la phase","✓")))))</f>
      </c>
    </row>
    <row r="54" ht="21" customHeight="1" spans="2:10" x14ac:dyDescent="0.25">
      <c r="B54" s="47">
        <f>IF(D54="","",D54&amp;" · "&amp;E54)</f>
      </c>
      <c r="C54" s="46"/>
      <c r="D54" s="46"/>
      <c r="E54" s="46"/>
      <c r="F54" s="49"/>
      <c r="G54" s="49"/>
      <c r="H54" s="46"/>
      <c r="I54" s="46"/>
      <c r="J54" s="48">
        <f>IF(OR(C54="",D54=""),"",IF(LEFT(D54,LEN(LEFT(C54,FIND(" ·",C54&amp;" ·")-1))+1)&lt;&gt;LEFT(C54,FIND(" ·",C54&amp;" ·")-1)&amp;".","⚠ N° hors phase",IF(AND(F54&lt;&gt;"",G54&lt;&gt;"",G54&lt;F54),"⚠ Fin avant début",IF(AND(F54&lt;&gt;"",IFERROR(F54&lt;INDEX('07 Phases'!$F$9:$F$38,MATCH(C54,'07 Phases'!$B$9:$B$38,0)),FALSE)),"◔ Début avant la phase",IF(AND(G54&lt;&gt;"",IFERROR(G54&gt;INDEX('07 Phases'!$G$9:$G$38,MATCH(C54,'07 Phases'!$B$9:$B$38,0)),FALSE)),"◔ Fin après la phase","✓")))))</f>
      </c>
    </row>
    <row r="55" ht="21" customHeight="1" spans="2:10" x14ac:dyDescent="0.25">
      <c r="B55" s="47">
        <f>IF(D55="","",D55&amp;" · "&amp;E55)</f>
      </c>
      <c r="C55" s="46"/>
      <c r="D55" s="46"/>
      <c r="E55" s="46"/>
      <c r="F55" s="49"/>
      <c r="G55" s="49"/>
      <c r="H55" s="46"/>
      <c r="I55" s="46"/>
      <c r="J55" s="48">
        <f>IF(OR(C55="",D55=""),"",IF(LEFT(D55,LEN(LEFT(C55,FIND(" ·",C55&amp;" ·")-1))+1)&lt;&gt;LEFT(C55,FIND(" ·",C55&amp;" ·")-1)&amp;".","⚠ N° hors phase",IF(AND(F55&lt;&gt;"",G55&lt;&gt;"",G55&lt;F55),"⚠ Fin avant début",IF(AND(F55&lt;&gt;"",IFERROR(F55&lt;INDEX('07 Phases'!$F$9:$F$38,MATCH(C55,'07 Phases'!$B$9:$B$38,0)),FALSE)),"◔ Début avant la phase",IF(AND(G55&lt;&gt;"",IFERROR(G55&gt;INDEX('07 Phases'!$G$9:$G$38,MATCH(C55,'07 Phases'!$B$9:$B$38,0)),FALSE)),"◔ Fin après la phase","✓")))))</f>
      </c>
    </row>
    <row r="56" ht="21" customHeight="1" spans="2:10" x14ac:dyDescent="0.25">
      <c r="B56" s="47">
        <f>IF(D56="","",D56&amp;" · "&amp;E56)</f>
      </c>
      <c r="C56" s="46"/>
      <c r="D56" s="46"/>
      <c r="E56" s="46"/>
      <c r="F56" s="49"/>
      <c r="G56" s="49"/>
      <c r="H56" s="46"/>
      <c r="I56" s="46"/>
      <c r="J56" s="48">
        <f>IF(OR(C56="",D56=""),"",IF(LEFT(D56,LEN(LEFT(C56,FIND(" ·",C56&amp;" ·")-1))+1)&lt;&gt;LEFT(C56,FIND(" ·",C56&amp;" ·")-1)&amp;".","⚠ N° hors phase",IF(AND(F56&lt;&gt;"",G56&lt;&gt;"",G56&lt;F56),"⚠ Fin avant début",IF(AND(F56&lt;&gt;"",IFERROR(F56&lt;INDEX('07 Phases'!$F$9:$F$38,MATCH(C56,'07 Phases'!$B$9:$B$38,0)),FALSE)),"◔ Début avant la phase",IF(AND(G56&lt;&gt;"",IFERROR(G56&gt;INDEX('07 Phases'!$G$9:$G$38,MATCH(C56,'07 Phases'!$B$9:$B$38,0)),FALSE)),"◔ Fin après la phase","✓")))))</f>
      </c>
    </row>
    <row r="57" ht="21" customHeight="1" spans="2:10" x14ac:dyDescent="0.25">
      <c r="B57" s="47">
        <f>IF(D57="","",D57&amp;" · "&amp;E57)</f>
      </c>
      <c r="C57" s="46"/>
      <c r="D57" s="46"/>
      <c r="E57" s="46"/>
      <c r="F57" s="49"/>
      <c r="G57" s="49"/>
      <c r="H57" s="46"/>
      <c r="I57" s="46"/>
      <c r="J57" s="48">
        <f>IF(OR(C57="",D57=""),"",IF(LEFT(D57,LEN(LEFT(C57,FIND(" ·",C57&amp;" ·")-1))+1)&lt;&gt;LEFT(C57,FIND(" ·",C57&amp;" ·")-1)&amp;".","⚠ N° hors phase",IF(AND(F57&lt;&gt;"",G57&lt;&gt;"",G57&lt;F57),"⚠ Fin avant début",IF(AND(F57&lt;&gt;"",IFERROR(F57&lt;INDEX('07 Phases'!$F$9:$F$38,MATCH(C57,'07 Phases'!$B$9:$B$38,0)),FALSE)),"◔ Début avant la phase",IF(AND(G57&lt;&gt;"",IFERROR(G57&gt;INDEX('07 Phases'!$G$9:$G$38,MATCH(C57,'07 Phases'!$B$9:$B$38,0)),FALSE)),"◔ Fin après la phase","✓")))))</f>
      </c>
    </row>
    <row r="58" ht="21" customHeight="1" spans="2:10" x14ac:dyDescent="0.25">
      <c r="B58" s="47">
        <f>IF(D58="","",D58&amp;" · "&amp;E58)</f>
      </c>
      <c r="C58" s="46"/>
      <c r="D58" s="46"/>
      <c r="E58" s="46"/>
      <c r="F58" s="49"/>
      <c r="G58" s="49"/>
      <c r="H58" s="46"/>
      <c r="I58" s="46"/>
      <c r="J58" s="48">
        <f>IF(OR(C58="",D58=""),"",IF(LEFT(D58,LEN(LEFT(C58,FIND(" ·",C58&amp;" ·")-1))+1)&lt;&gt;LEFT(C58,FIND(" ·",C58&amp;" ·")-1)&amp;".","⚠ N° hors phase",IF(AND(F58&lt;&gt;"",G58&lt;&gt;"",G58&lt;F58),"⚠ Fin avant début",IF(AND(F58&lt;&gt;"",IFERROR(F58&lt;INDEX('07 Phases'!$F$9:$F$38,MATCH(C58,'07 Phases'!$B$9:$B$38,0)),FALSE)),"◔ Début avant la phase",IF(AND(G58&lt;&gt;"",IFERROR(G58&gt;INDEX('07 Phases'!$G$9:$G$38,MATCH(C58,'07 Phases'!$B$9:$B$38,0)),FALSE)),"◔ Fin après la phase","✓")))))</f>
      </c>
    </row>
    <row r="59" ht="21" customHeight="1" spans="2:10" x14ac:dyDescent="0.25">
      <c r="B59" s="47">
        <f>IF(D59="","",D59&amp;" · "&amp;E59)</f>
      </c>
      <c r="C59" s="46"/>
      <c r="D59" s="46"/>
      <c r="E59" s="46"/>
      <c r="F59" s="49"/>
      <c r="G59" s="49"/>
      <c r="H59" s="46"/>
      <c r="I59" s="46"/>
      <c r="J59" s="48">
        <f>IF(OR(C59="",D59=""),"",IF(LEFT(D59,LEN(LEFT(C59,FIND(" ·",C59&amp;" ·")-1))+1)&lt;&gt;LEFT(C59,FIND(" ·",C59&amp;" ·")-1)&amp;".","⚠ N° hors phase",IF(AND(F59&lt;&gt;"",G59&lt;&gt;"",G59&lt;F59),"⚠ Fin avant début",IF(AND(F59&lt;&gt;"",IFERROR(F59&lt;INDEX('07 Phases'!$F$9:$F$38,MATCH(C59,'07 Phases'!$B$9:$B$38,0)),FALSE)),"◔ Début avant la phase",IF(AND(G59&lt;&gt;"",IFERROR(G59&gt;INDEX('07 Phases'!$G$9:$G$38,MATCH(C59,'07 Phases'!$B$9:$B$38,0)),FALSE)),"◔ Fin après la phase","✓")))))</f>
      </c>
    </row>
    <row r="60" ht="21" customHeight="1" spans="2:10" x14ac:dyDescent="0.25">
      <c r="B60" s="47">
        <f>IF(D60="","",D60&amp;" · "&amp;E60)</f>
      </c>
      <c r="C60" s="46"/>
      <c r="D60" s="46"/>
      <c r="E60" s="46"/>
      <c r="F60" s="49"/>
      <c r="G60" s="49"/>
      <c r="H60" s="46"/>
      <c r="I60" s="46"/>
      <c r="J60" s="48">
        <f>IF(OR(C60="",D60=""),"",IF(LEFT(D60,LEN(LEFT(C60,FIND(" ·",C60&amp;" ·")-1))+1)&lt;&gt;LEFT(C60,FIND(" ·",C60&amp;" ·")-1)&amp;".","⚠ N° hors phase",IF(AND(F60&lt;&gt;"",G60&lt;&gt;"",G60&lt;F60),"⚠ Fin avant début",IF(AND(F60&lt;&gt;"",IFERROR(F60&lt;INDEX('07 Phases'!$F$9:$F$38,MATCH(C60,'07 Phases'!$B$9:$B$38,0)),FALSE)),"◔ Début avant la phase",IF(AND(G60&lt;&gt;"",IFERROR(G60&gt;INDEX('07 Phases'!$G$9:$G$38,MATCH(C60,'07 Phases'!$B$9:$B$38,0)),FALSE)),"◔ Fin après la phase","✓")))))</f>
      </c>
    </row>
    <row r="61" ht="21" customHeight="1" spans="2:10" x14ac:dyDescent="0.25">
      <c r="B61" s="47">
        <f>IF(D61="","",D61&amp;" · "&amp;E61)</f>
      </c>
      <c r="C61" s="46"/>
      <c r="D61" s="46"/>
      <c r="E61" s="46"/>
      <c r="F61" s="49"/>
      <c r="G61" s="49"/>
      <c r="H61" s="46"/>
      <c r="I61" s="46"/>
      <c r="J61" s="48">
        <f>IF(OR(C61="",D61=""),"",IF(LEFT(D61,LEN(LEFT(C61,FIND(" ·",C61&amp;" ·")-1))+1)&lt;&gt;LEFT(C61,FIND(" ·",C61&amp;" ·")-1)&amp;".","⚠ N° hors phase",IF(AND(F61&lt;&gt;"",G61&lt;&gt;"",G61&lt;F61),"⚠ Fin avant début",IF(AND(F61&lt;&gt;"",IFERROR(F61&lt;INDEX('07 Phases'!$F$9:$F$38,MATCH(C61,'07 Phases'!$B$9:$B$38,0)),FALSE)),"◔ Début avant la phase",IF(AND(G61&lt;&gt;"",IFERROR(G61&gt;INDEX('07 Phases'!$G$9:$G$38,MATCH(C61,'07 Phases'!$B$9:$B$38,0)),FALSE)),"◔ Fin après la phase","✓")))))</f>
      </c>
    </row>
    <row r="62" ht="21" customHeight="1" spans="2:10" x14ac:dyDescent="0.25">
      <c r="B62" s="47">
        <f>IF(D62="","",D62&amp;" · "&amp;E62)</f>
      </c>
      <c r="C62" s="46"/>
      <c r="D62" s="46"/>
      <c r="E62" s="46"/>
      <c r="F62" s="49"/>
      <c r="G62" s="49"/>
      <c r="H62" s="46"/>
      <c r="I62" s="46"/>
      <c r="J62" s="48">
        <f>IF(OR(C62="",D62=""),"",IF(LEFT(D62,LEN(LEFT(C62,FIND(" ·",C62&amp;" ·")-1))+1)&lt;&gt;LEFT(C62,FIND(" ·",C62&amp;" ·")-1)&amp;".","⚠ N° hors phase",IF(AND(F62&lt;&gt;"",G62&lt;&gt;"",G62&lt;F62),"⚠ Fin avant début",IF(AND(F62&lt;&gt;"",IFERROR(F62&lt;INDEX('07 Phases'!$F$9:$F$38,MATCH(C62,'07 Phases'!$B$9:$B$38,0)),FALSE)),"◔ Début avant la phase",IF(AND(G62&lt;&gt;"",IFERROR(G62&gt;INDEX('07 Phases'!$G$9:$G$38,MATCH(C62,'07 Phases'!$B$9:$B$38,0)),FALSE)),"◔ Fin après la phase","✓")))))</f>
      </c>
    </row>
    <row r="63" ht="21" customHeight="1" spans="2:10" x14ac:dyDescent="0.25">
      <c r="B63" s="47">
        <f>IF(D63="","",D63&amp;" · "&amp;E63)</f>
      </c>
      <c r="C63" s="46"/>
      <c r="D63" s="46"/>
      <c r="E63" s="46"/>
      <c r="F63" s="49"/>
      <c r="G63" s="49"/>
      <c r="H63" s="46"/>
      <c r="I63" s="46"/>
      <c r="J63" s="48">
        <f>IF(OR(C63="",D63=""),"",IF(LEFT(D63,LEN(LEFT(C63,FIND(" ·",C63&amp;" ·")-1))+1)&lt;&gt;LEFT(C63,FIND(" ·",C63&amp;" ·")-1)&amp;".","⚠ N° hors phase",IF(AND(F63&lt;&gt;"",G63&lt;&gt;"",G63&lt;F63),"⚠ Fin avant début",IF(AND(F63&lt;&gt;"",IFERROR(F63&lt;INDEX('07 Phases'!$F$9:$F$38,MATCH(C63,'07 Phases'!$B$9:$B$38,0)),FALSE)),"◔ Début avant la phase",IF(AND(G63&lt;&gt;"",IFERROR(G63&gt;INDEX('07 Phases'!$G$9:$G$38,MATCH(C63,'07 Phases'!$B$9:$B$38,0)),FALSE)),"◔ Fin après la phase","✓")))))</f>
      </c>
    </row>
    <row r="64" ht="21" customHeight="1" spans="2:10" x14ac:dyDescent="0.25">
      <c r="B64" s="47">
        <f>IF(D64="","",D64&amp;" · "&amp;E64)</f>
      </c>
      <c r="C64" s="46"/>
      <c r="D64" s="46"/>
      <c r="E64" s="46"/>
      <c r="F64" s="49"/>
      <c r="G64" s="49"/>
      <c r="H64" s="46"/>
      <c r="I64" s="46"/>
      <c r="J64" s="48">
        <f>IF(OR(C64="",D64=""),"",IF(LEFT(D64,LEN(LEFT(C64,FIND(" ·",C64&amp;" ·")-1))+1)&lt;&gt;LEFT(C64,FIND(" ·",C64&amp;" ·")-1)&amp;".","⚠ N° hors phase",IF(AND(F64&lt;&gt;"",G64&lt;&gt;"",G64&lt;F64),"⚠ Fin avant début",IF(AND(F64&lt;&gt;"",IFERROR(F64&lt;INDEX('07 Phases'!$F$9:$F$38,MATCH(C64,'07 Phases'!$B$9:$B$38,0)),FALSE)),"◔ Début avant la phase",IF(AND(G64&lt;&gt;"",IFERROR(G64&gt;INDEX('07 Phases'!$G$9:$G$38,MATCH(C64,'07 Phases'!$B$9:$B$38,0)),FALSE)),"◔ Fin après la phase","✓")))))</f>
      </c>
    </row>
    <row r="65" ht="21" customHeight="1" spans="2:10" x14ac:dyDescent="0.25">
      <c r="B65" s="47">
        <f>IF(D65="","",D65&amp;" · "&amp;E65)</f>
      </c>
      <c r="C65" s="46"/>
      <c r="D65" s="46"/>
      <c r="E65" s="46"/>
      <c r="F65" s="49"/>
      <c r="G65" s="49"/>
      <c r="H65" s="46"/>
      <c r="I65" s="46"/>
      <c r="J65" s="48">
        <f>IF(OR(C65="",D65=""),"",IF(LEFT(D65,LEN(LEFT(C65,FIND(" ·",C65&amp;" ·")-1))+1)&lt;&gt;LEFT(C65,FIND(" ·",C65&amp;" ·")-1)&amp;".","⚠ N° hors phase",IF(AND(F65&lt;&gt;"",G65&lt;&gt;"",G65&lt;F65),"⚠ Fin avant début",IF(AND(F65&lt;&gt;"",IFERROR(F65&lt;INDEX('07 Phases'!$F$9:$F$38,MATCH(C65,'07 Phases'!$B$9:$B$38,0)),FALSE)),"◔ Début avant la phase",IF(AND(G65&lt;&gt;"",IFERROR(G65&gt;INDEX('07 Phases'!$G$9:$G$38,MATCH(C65,'07 Phases'!$B$9:$B$38,0)),FALSE)),"◔ Fin après la phase","✓")))))</f>
      </c>
    </row>
    <row r="66" ht="21" customHeight="1" spans="2:10" x14ac:dyDescent="0.25">
      <c r="B66" s="47">
        <f>IF(D66="","",D66&amp;" · "&amp;E66)</f>
      </c>
      <c r="C66" s="46"/>
      <c r="D66" s="46"/>
      <c r="E66" s="46"/>
      <c r="F66" s="49"/>
      <c r="G66" s="49"/>
      <c r="H66" s="46"/>
      <c r="I66" s="46"/>
      <c r="J66" s="48">
        <f>IF(OR(C66="",D66=""),"",IF(LEFT(D66,LEN(LEFT(C66,FIND(" ·",C66&amp;" ·")-1))+1)&lt;&gt;LEFT(C66,FIND(" ·",C66&amp;" ·")-1)&amp;".","⚠ N° hors phase",IF(AND(F66&lt;&gt;"",G66&lt;&gt;"",G66&lt;F66),"⚠ Fin avant début",IF(AND(F66&lt;&gt;"",IFERROR(F66&lt;INDEX('07 Phases'!$F$9:$F$38,MATCH(C66,'07 Phases'!$B$9:$B$38,0)),FALSE)),"◔ Début avant la phase",IF(AND(G66&lt;&gt;"",IFERROR(G66&gt;INDEX('07 Phases'!$G$9:$G$38,MATCH(C66,'07 Phases'!$B$9:$B$38,0)),FALSE)),"◔ Fin après la phase","✓")))))</f>
      </c>
    </row>
    <row r="67" ht="21" customHeight="1" spans="2:10" x14ac:dyDescent="0.25">
      <c r="B67" s="47">
        <f>IF(D67="","",D67&amp;" · "&amp;E67)</f>
      </c>
      <c r="C67" s="46"/>
      <c r="D67" s="46"/>
      <c r="E67" s="46"/>
      <c r="F67" s="49"/>
      <c r="G67" s="49"/>
      <c r="H67" s="46"/>
      <c r="I67" s="46"/>
      <c r="J67" s="48">
        <f>IF(OR(C67="",D67=""),"",IF(LEFT(D67,LEN(LEFT(C67,FIND(" ·",C67&amp;" ·")-1))+1)&lt;&gt;LEFT(C67,FIND(" ·",C67&amp;" ·")-1)&amp;".","⚠ N° hors phase",IF(AND(F67&lt;&gt;"",G67&lt;&gt;"",G67&lt;F67),"⚠ Fin avant début",IF(AND(F67&lt;&gt;"",IFERROR(F67&lt;INDEX('07 Phases'!$F$9:$F$38,MATCH(C67,'07 Phases'!$B$9:$B$38,0)),FALSE)),"◔ Début avant la phase",IF(AND(G67&lt;&gt;"",IFERROR(G67&gt;INDEX('07 Phases'!$G$9:$G$38,MATCH(C67,'07 Phases'!$B$9:$B$38,0)),FALSE)),"◔ Fin après la phase","✓")))))</f>
      </c>
    </row>
    <row r="68" ht="21" customHeight="1" spans="2:10" x14ac:dyDescent="0.25">
      <c r="B68" s="47">
        <f>IF(D68="","",D68&amp;" · "&amp;E68)</f>
      </c>
      <c r="C68" s="46"/>
      <c r="D68" s="46"/>
      <c r="E68" s="46"/>
      <c r="F68" s="49"/>
      <c r="G68" s="49"/>
      <c r="H68" s="46"/>
      <c r="I68" s="46"/>
      <c r="J68" s="48">
        <f>IF(OR(C68="",D68=""),"",IF(LEFT(D68,LEN(LEFT(C68,FIND(" ·",C68&amp;" ·")-1))+1)&lt;&gt;LEFT(C68,FIND(" ·",C68&amp;" ·")-1)&amp;".","⚠ N° hors phase",IF(AND(F68&lt;&gt;"",G68&lt;&gt;"",G68&lt;F68),"⚠ Fin avant début",IF(AND(F68&lt;&gt;"",IFERROR(F68&lt;INDEX('07 Phases'!$F$9:$F$38,MATCH(C68,'07 Phases'!$B$9:$B$38,0)),FALSE)),"◔ Début avant la phase",IF(AND(G68&lt;&gt;"",IFERROR(G68&gt;INDEX('07 Phases'!$G$9:$G$38,MATCH(C68,'07 Phases'!$B$9:$B$38,0)),FALSE)),"◔ Fin après la phase","✓")))))</f>
      </c>
    </row>
    <row r="69" ht="21" customHeight="1" spans="2:10" x14ac:dyDescent="0.25">
      <c r="B69" s="47">
        <f>IF(D69="","",D69&amp;" · "&amp;E69)</f>
      </c>
      <c r="C69" s="46"/>
      <c r="D69" s="46"/>
      <c r="E69" s="46"/>
      <c r="F69" s="49"/>
      <c r="G69" s="49"/>
      <c r="H69" s="46"/>
      <c r="I69" s="46"/>
      <c r="J69" s="48">
        <f>IF(OR(C69="",D69=""),"",IF(LEFT(D69,LEN(LEFT(C69,FIND(" ·",C69&amp;" ·")-1))+1)&lt;&gt;LEFT(C69,FIND(" ·",C69&amp;" ·")-1)&amp;".","⚠ N° hors phase",IF(AND(F69&lt;&gt;"",G69&lt;&gt;"",G69&lt;F69),"⚠ Fin avant début",IF(AND(F69&lt;&gt;"",IFERROR(F69&lt;INDEX('07 Phases'!$F$9:$F$38,MATCH(C69,'07 Phases'!$B$9:$B$38,0)),FALSE)),"◔ Début avant la phase",IF(AND(G69&lt;&gt;"",IFERROR(G69&gt;INDEX('07 Phases'!$G$9:$G$38,MATCH(C69,'07 Phases'!$B$9:$B$38,0)),FALSE)),"◔ Fin après la phase","✓")))))</f>
      </c>
    </row>
    <row r="70" ht="21" customHeight="1" spans="2:10" x14ac:dyDescent="0.25">
      <c r="B70" s="47">
        <f>IF(D70="","",D70&amp;" · "&amp;E70)</f>
      </c>
      <c r="C70" s="46"/>
      <c r="D70" s="46"/>
      <c r="E70" s="46"/>
      <c r="F70" s="49"/>
      <c r="G70" s="49"/>
      <c r="H70" s="46"/>
      <c r="I70" s="46"/>
      <c r="J70" s="48">
        <f>IF(OR(C70="",D70=""),"",IF(LEFT(D70,LEN(LEFT(C70,FIND(" ·",C70&amp;" ·")-1))+1)&lt;&gt;LEFT(C70,FIND(" ·",C70&amp;" ·")-1)&amp;".","⚠ N° hors phase",IF(AND(F70&lt;&gt;"",G70&lt;&gt;"",G70&lt;F70),"⚠ Fin avant début",IF(AND(F70&lt;&gt;"",IFERROR(F70&lt;INDEX('07 Phases'!$F$9:$F$38,MATCH(C70,'07 Phases'!$B$9:$B$38,0)),FALSE)),"◔ Début avant la phase",IF(AND(G70&lt;&gt;"",IFERROR(G70&gt;INDEX('07 Phases'!$G$9:$G$38,MATCH(C70,'07 Phases'!$B$9:$B$38,0)),FALSE)),"◔ Fin après la phase","✓")))))</f>
      </c>
    </row>
    <row r="71" ht="21" customHeight="1" spans="2:10" x14ac:dyDescent="0.25">
      <c r="B71" s="47">
        <f>IF(D71="","",D71&amp;" · "&amp;E71)</f>
      </c>
      <c r="C71" s="46"/>
      <c r="D71" s="46"/>
      <c r="E71" s="46"/>
      <c r="F71" s="49"/>
      <c r="G71" s="49"/>
      <c r="H71" s="46"/>
      <c r="I71" s="46"/>
      <c r="J71" s="48">
        <f>IF(OR(C71="",D71=""),"",IF(LEFT(D71,LEN(LEFT(C71,FIND(" ·",C71&amp;" ·")-1))+1)&lt;&gt;LEFT(C71,FIND(" ·",C71&amp;" ·")-1)&amp;".","⚠ N° hors phase",IF(AND(F71&lt;&gt;"",G71&lt;&gt;"",G71&lt;F71),"⚠ Fin avant début",IF(AND(F71&lt;&gt;"",IFERROR(F71&lt;INDEX('07 Phases'!$F$9:$F$38,MATCH(C71,'07 Phases'!$B$9:$B$38,0)),FALSE)),"◔ Début avant la phase",IF(AND(G71&lt;&gt;"",IFERROR(G71&gt;INDEX('07 Phases'!$G$9:$G$38,MATCH(C71,'07 Phases'!$B$9:$B$38,0)),FALSE)),"◔ Fin après la phase","✓")))))</f>
      </c>
    </row>
    <row r="72" ht="21" customHeight="1" spans="2:10" x14ac:dyDescent="0.25">
      <c r="B72" s="47">
        <f>IF(D72="","",D72&amp;" · "&amp;E72)</f>
      </c>
      <c r="C72" s="46"/>
      <c r="D72" s="46"/>
      <c r="E72" s="46"/>
      <c r="F72" s="49"/>
      <c r="G72" s="49"/>
      <c r="H72" s="46"/>
      <c r="I72" s="46"/>
      <c r="J72" s="48">
        <f>IF(OR(C72="",D72=""),"",IF(LEFT(D72,LEN(LEFT(C72,FIND(" ·",C72&amp;" ·")-1))+1)&lt;&gt;LEFT(C72,FIND(" ·",C72&amp;" ·")-1)&amp;".","⚠ N° hors phase",IF(AND(F72&lt;&gt;"",G72&lt;&gt;"",G72&lt;F72),"⚠ Fin avant début",IF(AND(F72&lt;&gt;"",IFERROR(F72&lt;INDEX('07 Phases'!$F$9:$F$38,MATCH(C72,'07 Phases'!$B$9:$B$38,0)),FALSE)),"◔ Début avant la phase",IF(AND(G72&lt;&gt;"",IFERROR(G72&gt;INDEX('07 Phases'!$G$9:$G$38,MATCH(C72,'07 Phases'!$B$9:$B$38,0)),FALSE)),"◔ Fin après la phase","✓")))))</f>
      </c>
    </row>
    <row r="73" ht="21" customHeight="1" spans="2:10" x14ac:dyDescent="0.25">
      <c r="B73" s="47">
        <f>IF(D73="","",D73&amp;" · "&amp;E73)</f>
      </c>
      <c r="C73" s="46"/>
      <c r="D73" s="46"/>
      <c r="E73" s="46"/>
      <c r="F73" s="49"/>
      <c r="G73" s="49"/>
      <c r="H73" s="46"/>
      <c r="I73" s="46"/>
      <c r="J73" s="48">
        <f>IF(OR(C73="",D73=""),"",IF(LEFT(D73,LEN(LEFT(C73,FIND(" ·",C73&amp;" ·")-1))+1)&lt;&gt;LEFT(C73,FIND(" ·",C73&amp;" ·")-1)&amp;".","⚠ N° hors phase",IF(AND(F73&lt;&gt;"",G73&lt;&gt;"",G73&lt;F73),"⚠ Fin avant début",IF(AND(F73&lt;&gt;"",IFERROR(F73&lt;INDEX('07 Phases'!$F$9:$F$38,MATCH(C73,'07 Phases'!$B$9:$B$38,0)),FALSE)),"◔ Début avant la phase",IF(AND(G73&lt;&gt;"",IFERROR(G73&gt;INDEX('07 Phases'!$G$9:$G$38,MATCH(C73,'07 Phases'!$B$9:$B$38,0)),FALSE)),"◔ Fin après la phase","✓")))))</f>
      </c>
    </row>
    <row r="74" ht="21" customHeight="1" spans="2:10" x14ac:dyDescent="0.25">
      <c r="B74" s="47">
        <f>IF(D74="","",D74&amp;" · "&amp;E74)</f>
      </c>
      <c r="C74" s="46"/>
      <c r="D74" s="46"/>
      <c r="E74" s="46"/>
      <c r="F74" s="49"/>
      <c r="G74" s="49"/>
      <c r="H74" s="46"/>
      <c r="I74" s="46"/>
      <c r="J74" s="48">
        <f>IF(OR(C74="",D74=""),"",IF(LEFT(D74,LEN(LEFT(C74,FIND(" ·",C74&amp;" ·")-1))+1)&lt;&gt;LEFT(C74,FIND(" ·",C74&amp;" ·")-1)&amp;".","⚠ N° hors phase",IF(AND(F74&lt;&gt;"",G74&lt;&gt;"",G74&lt;F74),"⚠ Fin avant début",IF(AND(F74&lt;&gt;"",IFERROR(F74&lt;INDEX('07 Phases'!$F$9:$F$38,MATCH(C74,'07 Phases'!$B$9:$B$38,0)),FALSE)),"◔ Début avant la phase",IF(AND(G74&lt;&gt;"",IFERROR(G74&gt;INDEX('07 Phases'!$G$9:$G$38,MATCH(C74,'07 Phases'!$B$9:$B$38,0)),FALSE)),"◔ Fin après la phase","✓")))))</f>
      </c>
    </row>
    <row r="75" ht="21" customHeight="1" spans="2:10" x14ac:dyDescent="0.25">
      <c r="B75" s="47">
        <f>IF(D75="","",D75&amp;" · "&amp;E75)</f>
      </c>
      <c r="C75" s="46"/>
      <c r="D75" s="46"/>
      <c r="E75" s="46"/>
      <c r="F75" s="49"/>
      <c r="G75" s="49"/>
      <c r="H75" s="46"/>
      <c r="I75" s="46"/>
      <c r="J75" s="48">
        <f>IF(OR(C75="",D75=""),"",IF(LEFT(D75,LEN(LEFT(C75,FIND(" ·",C75&amp;" ·")-1))+1)&lt;&gt;LEFT(C75,FIND(" ·",C75&amp;" ·")-1)&amp;".","⚠ N° hors phase",IF(AND(F75&lt;&gt;"",G75&lt;&gt;"",G75&lt;F75),"⚠ Fin avant début",IF(AND(F75&lt;&gt;"",IFERROR(F75&lt;INDEX('07 Phases'!$F$9:$F$38,MATCH(C75,'07 Phases'!$B$9:$B$38,0)),FALSE)),"◔ Début avant la phase",IF(AND(G75&lt;&gt;"",IFERROR(G75&gt;INDEX('07 Phases'!$G$9:$G$38,MATCH(C75,'07 Phases'!$B$9:$B$38,0)),FALSE)),"◔ Fin après la phase","✓")))))</f>
      </c>
    </row>
    <row r="76" ht="21" customHeight="1" spans="2:10" x14ac:dyDescent="0.25">
      <c r="B76" s="47">
        <f>IF(D76="","",D76&amp;" · "&amp;E76)</f>
      </c>
      <c r="C76" s="46"/>
      <c r="D76" s="46"/>
      <c r="E76" s="46"/>
      <c r="F76" s="49"/>
      <c r="G76" s="49"/>
      <c r="H76" s="46"/>
      <c r="I76" s="46"/>
      <c r="J76" s="48">
        <f>IF(OR(C76="",D76=""),"",IF(LEFT(D76,LEN(LEFT(C76,FIND(" ·",C76&amp;" ·")-1))+1)&lt;&gt;LEFT(C76,FIND(" ·",C76&amp;" ·")-1)&amp;".","⚠ N° hors phase",IF(AND(F76&lt;&gt;"",G76&lt;&gt;"",G76&lt;F76),"⚠ Fin avant début",IF(AND(F76&lt;&gt;"",IFERROR(F76&lt;INDEX('07 Phases'!$F$9:$F$38,MATCH(C76,'07 Phases'!$B$9:$B$38,0)),FALSE)),"◔ Début avant la phase",IF(AND(G76&lt;&gt;"",IFERROR(G76&gt;INDEX('07 Phases'!$G$9:$G$38,MATCH(C76,'07 Phases'!$B$9:$B$38,0)),FALSE)),"◔ Fin après la phase","✓")))))</f>
      </c>
    </row>
    <row r="77" ht="21" customHeight="1" spans="2:10" x14ac:dyDescent="0.25">
      <c r="B77" s="47">
        <f>IF(D77="","",D77&amp;" · "&amp;E77)</f>
      </c>
      <c r="C77" s="46"/>
      <c r="D77" s="46"/>
      <c r="E77" s="46"/>
      <c r="F77" s="49"/>
      <c r="G77" s="49"/>
      <c r="H77" s="46"/>
      <c r="I77" s="46"/>
      <c r="J77" s="48">
        <f>IF(OR(C77="",D77=""),"",IF(LEFT(D77,LEN(LEFT(C77,FIND(" ·",C77&amp;" ·")-1))+1)&lt;&gt;LEFT(C77,FIND(" ·",C77&amp;" ·")-1)&amp;".","⚠ N° hors phase",IF(AND(F77&lt;&gt;"",G77&lt;&gt;"",G77&lt;F77),"⚠ Fin avant début",IF(AND(F77&lt;&gt;"",IFERROR(F77&lt;INDEX('07 Phases'!$F$9:$F$38,MATCH(C77,'07 Phases'!$B$9:$B$38,0)),FALSE)),"◔ Début avant la phase",IF(AND(G77&lt;&gt;"",IFERROR(G77&gt;INDEX('07 Phases'!$G$9:$G$38,MATCH(C77,'07 Phases'!$B$9:$B$38,0)),FALSE)),"◔ Fin après la phase","✓")))))</f>
      </c>
    </row>
    <row r="78" ht="21" customHeight="1" spans="2:10" x14ac:dyDescent="0.25">
      <c r="B78" s="47">
        <f>IF(D78="","",D78&amp;" · "&amp;E78)</f>
      </c>
      <c r="C78" s="46"/>
      <c r="D78" s="46"/>
      <c r="E78" s="46"/>
      <c r="F78" s="49"/>
      <c r="G78" s="49"/>
      <c r="H78" s="46"/>
      <c r="I78" s="46"/>
      <c r="J78" s="48">
        <f>IF(OR(C78="",D78=""),"",IF(LEFT(D78,LEN(LEFT(C78,FIND(" ·",C78&amp;" ·")-1))+1)&lt;&gt;LEFT(C78,FIND(" ·",C78&amp;" ·")-1)&amp;".","⚠ N° hors phase",IF(AND(F78&lt;&gt;"",G78&lt;&gt;"",G78&lt;F78),"⚠ Fin avant début",IF(AND(F78&lt;&gt;"",IFERROR(F78&lt;INDEX('07 Phases'!$F$9:$F$38,MATCH(C78,'07 Phases'!$B$9:$B$38,0)),FALSE)),"◔ Début avant la phase",IF(AND(G78&lt;&gt;"",IFERROR(G78&gt;INDEX('07 Phases'!$G$9:$G$38,MATCH(C78,'07 Phases'!$B$9:$B$38,0)),FALSE)),"◔ Fin après la phase","✓")))))</f>
      </c>
    </row>
    <row r="79" ht="21" customHeight="1" spans="2:10" x14ac:dyDescent="0.25">
      <c r="B79" s="47">
        <f>IF(D79="","",D79&amp;" · "&amp;E79)</f>
      </c>
      <c r="C79" s="46"/>
      <c r="D79" s="46"/>
      <c r="E79" s="46"/>
      <c r="F79" s="49"/>
      <c r="G79" s="49"/>
      <c r="H79" s="46"/>
      <c r="I79" s="46"/>
      <c r="J79" s="48">
        <f>IF(OR(C79="",D79=""),"",IF(LEFT(D79,LEN(LEFT(C79,FIND(" ·",C79&amp;" ·")-1))+1)&lt;&gt;LEFT(C79,FIND(" ·",C79&amp;" ·")-1)&amp;".","⚠ N° hors phase",IF(AND(F79&lt;&gt;"",G79&lt;&gt;"",G79&lt;F79),"⚠ Fin avant début",IF(AND(F79&lt;&gt;"",IFERROR(F79&lt;INDEX('07 Phases'!$F$9:$F$38,MATCH(C79,'07 Phases'!$B$9:$B$38,0)),FALSE)),"◔ Début avant la phase",IF(AND(G79&lt;&gt;"",IFERROR(G79&gt;INDEX('07 Phases'!$G$9:$G$38,MATCH(C79,'07 Phases'!$B$9:$B$38,0)),FALSE)),"◔ Fin après la phase","✓")))))</f>
      </c>
    </row>
    <row r="80" ht="21" customHeight="1" spans="2:10" x14ac:dyDescent="0.25">
      <c r="B80" s="47">
        <f>IF(D80="","",D80&amp;" · "&amp;E80)</f>
      </c>
      <c r="C80" s="46"/>
      <c r="D80" s="46"/>
      <c r="E80" s="46"/>
      <c r="F80" s="49"/>
      <c r="G80" s="49"/>
      <c r="H80" s="46"/>
      <c r="I80" s="46"/>
      <c r="J80" s="48">
        <f>IF(OR(C80="",D80=""),"",IF(LEFT(D80,LEN(LEFT(C80,FIND(" ·",C80&amp;" ·")-1))+1)&lt;&gt;LEFT(C80,FIND(" ·",C80&amp;" ·")-1)&amp;".","⚠ N° hors phase",IF(AND(F80&lt;&gt;"",G80&lt;&gt;"",G80&lt;F80),"⚠ Fin avant début",IF(AND(F80&lt;&gt;"",IFERROR(F80&lt;INDEX('07 Phases'!$F$9:$F$38,MATCH(C80,'07 Phases'!$B$9:$B$38,0)),FALSE)),"◔ Début avant la phase",IF(AND(G80&lt;&gt;"",IFERROR(G80&gt;INDEX('07 Phases'!$G$9:$G$38,MATCH(C80,'07 Phases'!$B$9:$B$38,0)),FALSE)),"◔ Fin après la phase","✓")))))</f>
      </c>
    </row>
    <row r="81" ht="21" customHeight="1" spans="2:10" x14ac:dyDescent="0.25">
      <c r="B81" s="47">
        <f>IF(D81="","",D81&amp;" · "&amp;E81)</f>
      </c>
      <c r="C81" s="46"/>
      <c r="D81" s="46"/>
      <c r="E81" s="46"/>
      <c r="F81" s="49"/>
      <c r="G81" s="49"/>
      <c r="H81" s="46"/>
      <c r="I81" s="46"/>
      <c r="J81" s="48">
        <f>IF(OR(C81="",D81=""),"",IF(LEFT(D81,LEN(LEFT(C81,FIND(" ·",C81&amp;" ·")-1))+1)&lt;&gt;LEFT(C81,FIND(" ·",C81&amp;" ·")-1)&amp;".","⚠ N° hors phase",IF(AND(F81&lt;&gt;"",G81&lt;&gt;"",G81&lt;F81),"⚠ Fin avant début",IF(AND(F81&lt;&gt;"",IFERROR(F81&lt;INDEX('07 Phases'!$F$9:$F$38,MATCH(C81,'07 Phases'!$B$9:$B$38,0)),FALSE)),"◔ Début avant la phase",IF(AND(G81&lt;&gt;"",IFERROR(G81&gt;INDEX('07 Phases'!$G$9:$G$38,MATCH(C81,'07 Phases'!$B$9:$B$38,0)),FALSE)),"◔ Fin après la phase","✓")))))</f>
      </c>
    </row>
    <row r="82" ht="21" customHeight="1" spans="2:10" x14ac:dyDescent="0.25">
      <c r="B82" s="47">
        <f>IF(D82="","",D82&amp;" · "&amp;E82)</f>
      </c>
      <c r="C82" s="46"/>
      <c r="D82" s="46"/>
      <c r="E82" s="46"/>
      <c r="F82" s="49"/>
      <c r="G82" s="49"/>
      <c r="H82" s="46"/>
      <c r="I82" s="46"/>
      <c r="J82" s="48">
        <f>IF(OR(C82="",D82=""),"",IF(LEFT(D82,LEN(LEFT(C82,FIND(" ·",C82&amp;" ·")-1))+1)&lt;&gt;LEFT(C82,FIND(" ·",C82&amp;" ·")-1)&amp;".","⚠ N° hors phase",IF(AND(F82&lt;&gt;"",G82&lt;&gt;"",G82&lt;F82),"⚠ Fin avant début",IF(AND(F82&lt;&gt;"",IFERROR(F82&lt;INDEX('07 Phases'!$F$9:$F$38,MATCH(C82,'07 Phases'!$B$9:$B$38,0)),FALSE)),"◔ Début avant la phase",IF(AND(G82&lt;&gt;"",IFERROR(G82&gt;INDEX('07 Phases'!$G$9:$G$38,MATCH(C82,'07 Phases'!$B$9:$B$38,0)),FALSE)),"◔ Fin après la phase","✓")))))</f>
      </c>
    </row>
    <row r="83" ht="21" customHeight="1" spans="2:10" x14ac:dyDescent="0.25">
      <c r="B83" s="47">
        <f>IF(D83="","",D83&amp;" · "&amp;E83)</f>
      </c>
      <c r="C83" s="46"/>
      <c r="D83" s="46"/>
      <c r="E83" s="46"/>
      <c r="F83" s="49"/>
      <c r="G83" s="49"/>
      <c r="H83" s="46"/>
      <c r="I83" s="46"/>
      <c r="J83" s="48">
        <f>IF(OR(C83="",D83=""),"",IF(LEFT(D83,LEN(LEFT(C83,FIND(" ·",C83&amp;" ·")-1))+1)&lt;&gt;LEFT(C83,FIND(" ·",C83&amp;" ·")-1)&amp;".","⚠ N° hors phase",IF(AND(F83&lt;&gt;"",G83&lt;&gt;"",G83&lt;F83),"⚠ Fin avant début",IF(AND(F83&lt;&gt;"",IFERROR(F83&lt;INDEX('07 Phases'!$F$9:$F$38,MATCH(C83,'07 Phases'!$B$9:$B$38,0)),FALSE)),"◔ Début avant la phase",IF(AND(G83&lt;&gt;"",IFERROR(G83&gt;INDEX('07 Phases'!$G$9:$G$38,MATCH(C83,'07 Phases'!$B$9:$B$38,0)),FALSE)),"◔ Fin après la phase","✓")))))</f>
      </c>
    </row>
    <row r="84" ht="21" customHeight="1" spans="2:10" x14ac:dyDescent="0.25">
      <c r="B84" s="47">
        <f>IF(D84="","",D84&amp;" · "&amp;E84)</f>
      </c>
      <c r="C84" s="46"/>
      <c r="D84" s="46"/>
      <c r="E84" s="46"/>
      <c r="F84" s="49"/>
      <c r="G84" s="49"/>
      <c r="H84" s="46"/>
      <c r="I84" s="46"/>
      <c r="J84" s="48">
        <f>IF(OR(C84="",D84=""),"",IF(LEFT(D84,LEN(LEFT(C84,FIND(" ·",C84&amp;" ·")-1))+1)&lt;&gt;LEFT(C84,FIND(" ·",C84&amp;" ·")-1)&amp;".","⚠ N° hors phase",IF(AND(F84&lt;&gt;"",G84&lt;&gt;"",G84&lt;F84),"⚠ Fin avant début",IF(AND(F84&lt;&gt;"",IFERROR(F84&lt;INDEX('07 Phases'!$F$9:$F$38,MATCH(C84,'07 Phases'!$B$9:$B$38,0)),FALSE)),"◔ Début avant la phase",IF(AND(G84&lt;&gt;"",IFERROR(G84&gt;INDEX('07 Phases'!$G$9:$G$38,MATCH(C84,'07 Phases'!$B$9:$B$38,0)),FALSE)),"◔ Fin après la phase","✓")))))</f>
      </c>
    </row>
    <row r="85" ht="21" customHeight="1" spans="2:10" x14ac:dyDescent="0.25">
      <c r="B85" s="47">
        <f>IF(D85="","",D85&amp;" · "&amp;E85)</f>
      </c>
      <c r="C85" s="46"/>
      <c r="D85" s="46"/>
      <c r="E85" s="46"/>
      <c r="F85" s="49"/>
      <c r="G85" s="49"/>
      <c r="H85" s="46"/>
      <c r="I85" s="46"/>
      <c r="J85" s="48">
        <f>IF(OR(C85="",D85=""),"",IF(LEFT(D85,LEN(LEFT(C85,FIND(" ·",C85&amp;" ·")-1))+1)&lt;&gt;LEFT(C85,FIND(" ·",C85&amp;" ·")-1)&amp;".","⚠ N° hors phase",IF(AND(F85&lt;&gt;"",G85&lt;&gt;"",G85&lt;F85),"⚠ Fin avant début",IF(AND(F85&lt;&gt;"",IFERROR(F85&lt;INDEX('07 Phases'!$F$9:$F$38,MATCH(C85,'07 Phases'!$B$9:$B$38,0)),FALSE)),"◔ Début avant la phase",IF(AND(G85&lt;&gt;"",IFERROR(G85&gt;INDEX('07 Phases'!$G$9:$G$38,MATCH(C85,'07 Phases'!$B$9:$B$38,0)),FALSE)),"◔ Fin après la phase","✓")))))</f>
      </c>
    </row>
    <row r="86" ht="21" customHeight="1" spans="2:10" x14ac:dyDescent="0.25">
      <c r="B86" s="47">
        <f>IF(D86="","",D86&amp;" · "&amp;E86)</f>
      </c>
      <c r="C86" s="46"/>
      <c r="D86" s="46"/>
      <c r="E86" s="46"/>
      <c r="F86" s="49"/>
      <c r="G86" s="49"/>
      <c r="H86" s="46"/>
      <c r="I86" s="46"/>
      <c r="J86" s="48">
        <f>IF(OR(C86="",D86=""),"",IF(LEFT(D86,LEN(LEFT(C86,FIND(" ·",C86&amp;" ·")-1))+1)&lt;&gt;LEFT(C86,FIND(" ·",C86&amp;" ·")-1)&amp;".","⚠ N° hors phase",IF(AND(F86&lt;&gt;"",G86&lt;&gt;"",G86&lt;F86),"⚠ Fin avant début",IF(AND(F86&lt;&gt;"",IFERROR(F86&lt;INDEX('07 Phases'!$F$9:$F$38,MATCH(C86,'07 Phases'!$B$9:$B$38,0)),FALSE)),"◔ Début avant la phase",IF(AND(G86&lt;&gt;"",IFERROR(G86&gt;INDEX('07 Phases'!$G$9:$G$38,MATCH(C86,'07 Phases'!$B$9:$B$38,0)),FALSE)),"◔ Fin après la phase","✓")))))</f>
      </c>
    </row>
    <row r="87" ht="21" customHeight="1" spans="2:10" x14ac:dyDescent="0.25">
      <c r="B87" s="47">
        <f>IF(D87="","",D87&amp;" · "&amp;E87)</f>
      </c>
      <c r="C87" s="46"/>
      <c r="D87" s="46"/>
      <c r="E87" s="46"/>
      <c r="F87" s="49"/>
      <c r="G87" s="49"/>
      <c r="H87" s="46"/>
      <c r="I87" s="46"/>
      <c r="J87" s="48">
        <f>IF(OR(C87="",D87=""),"",IF(LEFT(D87,LEN(LEFT(C87,FIND(" ·",C87&amp;" ·")-1))+1)&lt;&gt;LEFT(C87,FIND(" ·",C87&amp;" ·")-1)&amp;".","⚠ N° hors phase",IF(AND(F87&lt;&gt;"",G87&lt;&gt;"",G87&lt;F87),"⚠ Fin avant début",IF(AND(F87&lt;&gt;"",IFERROR(F87&lt;INDEX('07 Phases'!$F$9:$F$38,MATCH(C87,'07 Phases'!$B$9:$B$38,0)),FALSE)),"◔ Début avant la phase",IF(AND(G87&lt;&gt;"",IFERROR(G87&gt;INDEX('07 Phases'!$G$9:$G$38,MATCH(C87,'07 Phases'!$B$9:$B$38,0)),FALSE)),"◔ Fin après la phase","✓")))))</f>
      </c>
    </row>
    <row r="88" ht="21" customHeight="1" spans="2:10" x14ac:dyDescent="0.25">
      <c r="B88" s="47">
        <f>IF(D88="","",D88&amp;" · "&amp;E88)</f>
      </c>
      <c r="C88" s="46"/>
      <c r="D88" s="46"/>
      <c r="E88" s="46"/>
      <c r="F88" s="49"/>
      <c r="G88" s="49"/>
      <c r="H88" s="46"/>
      <c r="I88" s="46"/>
      <c r="J88" s="48">
        <f>IF(OR(C88="",D88=""),"",IF(LEFT(D88,LEN(LEFT(C88,FIND(" ·",C88&amp;" ·")-1))+1)&lt;&gt;LEFT(C88,FIND(" ·",C88&amp;" ·")-1)&amp;".","⚠ N° hors phase",IF(AND(F88&lt;&gt;"",G88&lt;&gt;"",G88&lt;F88),"⚠ Fin avant début",IF(AND(F88&lt;&gt;"",IFERROR(F88&lt;INDEX('07 Phases'!$F$9:$F$38,MATCH(C88,'07 Phases'!$B$9:$B$38,0)),FALSE)),"◔ Début avant la phase",IF(AND(G88&lt;&gt;"",IFERROR(G88&gt;INDEX('07 Phases'!$G$9:$G$38,MATCH(C88,'07 Phases'!$B$9:$B$38,0)),FALSE)),"◔ Fin après la phase","✓")))))</f>
      </c>
    </row>
  </sheetData>
  <sheetProtection sheet="1" formatColumns="0" formatRows="0" sort="0" autoFilter="0"/>
  <autoFilter ref="B8:J8"/>
  <conditionalFormatting sqref="C9:C88">
    <cfRule type="expression" dxfId="40" priority="1">
      <formula>AND(OR($C9&lt;&gt;"",$D9&lt;&gt;"",$E9&lt;&gt;"",$F9&lt;&gt;"",$G9&lt;&gt;"",$H9&lt;&gt;"",$I9&lt;&gt;""),C9="")</formula>
    </cfRule>
  </conditionalFormatting>
  <conditionalFormatting sqref="D9:D88">
    <cfRule type="expression" dxfId="41" priority="1">
      <formula>AND(OR($C9&lt;&gt;"",$D9&lt;&gt;"",$E9&lt;&gt;"",$F9&lt;&gt;"",$G9&lt;&gt;"",$H9&lt;&gt;"",$I9&lt;&gt;""),D9="")</formula>
    </cfRule>
  </conditionalFormatting>
  <conditionalFormatting sqref="E9:E88">
    <cfRule type="expression" dxfId="42" priority="1">
      <formula>AND(OR($C9&lt;&gt;"",$D9&lt;&gt;"",$E9&lt;&gt;"",$F9&lt;&gt;"",$G9&lt;&gt;"",$H9&lt;&gt;"",$I9&lt;&gt;""),E9="")</formula>
    </cfRule>
  </conditionalFormatting>
  <conditionalFormatting sqref="J9:J88">
    <cfRule type="containsText" dxfId="43" priority="2">
      <formula>NOT(ISERROR(SEARCH("⚠",J9)))</formula>
    </cfRule>
    <cfRule type="containsText" dxfId="44" priority="3">
      <formula>NOT(ISERROR(SEARCH("◔",J9)))</formula>
    </cfRule>
  </conditionalFormatting>
  <dataValidations count="6">
    <dataValidation type="list" allowBlank="1" showErrorMessage="1" errorStyle="stop" errorTitle="Valeur hors liste" error="Choisissez une valeur dans la liste. Elle se remplit à partir de l’onglet correspondant." sqref="C10:C88">
      <formula1>L_Phases</formula1>
    </dataValidation>
    <dataValidation type="list" allowBlank="1" showErrorMessage="1" errorStyle="stop" errorTitle="Valeur hors liste" error="Choisissez une valeur dans la liste. Elle se remplit à partir de l’onglet correspondant." sqref="C9:C88">
      <formula1>L_Phases</formula1>
    </dataValidation>
    <dataValidation type="date" operator="greaterThan" allowBlank="1" showErrorMessage="1" errorStyle="stop" errorTitle="Date attendue" error="Saisissez une date au format JJ/MM/AAAA." sqref="F10:G88">
      <formula1>36526</formula1>
    </dataValidation>
    <dataValidation type="date" operator="greaterThan" allowBlank="1" showErrorMessage="1" errorStyle="stop" errorTitle="Date attendue" error="Saisissez une date au format JJ/MM/AAAA." sqref="F9:G88">
      <formula1>36526</formula1>
    </dataValidation>
    <dataValidation type="list" allowBlank="1" showErrorMessage="1" errorStyle="stop" errorTitle="Valeur hors liste" error="Choisissez une valeur dans la liste. Elle se remplit à partir de l’onglet correspondant." sqref="H10:H88">
      <formula1>L_StatutPhase</formula1>
    </dataValidation>
    <dataValidation type="list" allowBlank="1" showErrorMessage="1" errorStyle="stop" errorTitle="Valeur hors liste" error="Choisissez une valeur dans la liste. Elle se remplit à partir de l’onglet correspondant." sqref="H9:H88">
      <formula1>L_StatutPhase</formula1>
    </dataValidation>
  </dataValidations>
  <hyperlinks>
    <hyperlink ref="J3" r:id="rId1" location="#'Complétude'!A1"/>
  </hyperlinks>
  <pageMargins left="0.4" right="0.4" top="0.5" bottom="0.5" header="0.2" footer="0.2"/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8F86"/>
    <pageSetUpPr fitToPage="1"/>
  </sheetPr>
  <dimension ref="B1:G3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8" customWidth="1"/>
    <col min="3" max="3" width="30" customWidth="1"/>
    <col min="4" max="4" width="24" customWidth="1"/>
    <col min="5" max="6" width="12" customWidth="1"/>
    <col min="7" max="7" width="44" customWidth="1"/>
  </cols>
  <sheetData>
    <row r="1" ht="12" customHeight="1" x14ac:dyDescent="0.25"/>
    <row r="2" ht="34" customHeight="1" spans="2:7" x14ac:dyDescent="0.25">
      <c r="B2" s="1" t="s">
        <v>50</v>
      </c>
      <c r="G2" s="38">
        <f>'Complétude'!$I27</f>
      </c>
    </row>
    <row r="3" ht="18" customHeight="1" spans="2:7" x14ac:dyDescent="0.25">
      <c r="B3" s="2" t="s">
        <v>219</v>
      </c>
      <c r="G3" s="39" t="s">
        <v>156</v>
      </c>
    </row>
    <row r="4" ht="18" customHeight="1" spans="2:2" x14ac:dyDescent="0.25">
      <c r="B4" t="s">
        <v>220</v>
      </c>
    </row>
    <row r="5" ht="16" customHeight="1" spans="2:2" x14ac:dyDescent="0.25">
      <c r="B5" s="40" t="s">
        <v>221</v>
      </c>
    </row>
    <row r="6" ht="10" customHeight="1" x14ac:dyDescent="0.25"/>
    <row r="7" ht="15" customHeight="1" spans="2:7" x14ac:dyDescent="0.25">
      <c r="B7" s="43" t="s">
        <v>161</v>
      </c>
      <c r="C7" s="41" t="s">
        <v>159</v>
      </c>
      <c r="D7" s="41" t="s">
        <v>173</v>
      </c>
      <c r="E7" s="42" t="s">
        <v>174</v>
      </c>
      <c r="F7" s="42" t="s">
        <v>174</v>
      </c>
      <c r="G7" s="42" t="s">
        <v>160</v>
      </c>
    </row>
    <row r="8" ht="26" customHeight="1" spans="2:7" x14ac:dyDescent="0.25">
      <c r="B8" s="45" t="s">
        <v>222</v>
      </c>
      <c r="C8" s="44" t="s">
        <v>163</v>
      </c>
      <c r="D8" s="44" t="s">
        <v>212</v>
      </c>
      <c r="E8" s="44" t="s">
        <v>100</v>
      </c>
      <c r="F8" s="44" t="s">
        <v>19</v>
      </c>
      <c r="G8" s="44" t="s">
        <v>164</v>
      </c>
    </row>
    <row r="9" ht="21" customHeight="1" spans="2:7" x14ac:dyDescent="0.25">
      <c r="B9" s="47">
        <f>IF(C9="","","C"&amp;(ROW()-8))</f>
      </c>
      <c r="C9" s="46"/>
      <c r="D9" s="46"/>
      <c r="E9" s="46"/>
      <c r="F9" s="46"/>
      <c r="G9" s="46"/>
    </row>
    <row r="10" ht="21" customHeight="1" spans="2:7" x14ac:dyDescent="0.25">
      <c r="B10" s="47">
        <f>IF(C10="","","C"&amp;(ROW()-8))</f>
      </c>
      <c r="C10" s="46"/>
      <c r="D10" s="46"/>
      <c r="E10" s="46"/>
      <c r="F10" s="46"/>
      <c r="G10" s="46"/>
    </row>
    <row r="11" ht="21" customHeight="1" spans="2:7" x14ac:dyDescent="0.25">
      <c r="B11" s="47">
        <f>IF(C11="","","C"&amp;(ROW()-8))</f>
      </c>
      <c r="C11" s="46"/>
      <c r="D11" s="46"/>
      <c r="E11" s="46"/>
      <c r="F11" s="46"/>
      <c r="G11" s="46"/>
    </row>
    <row r="12" ht="21" customHeight="1" spans="2:7" x14ac:dyDescent="0.25">
      <c r="B12" s="47">
        <f>IF(C12="","","C"&amp;(ROW()-8))</f>
      </c>
      <c r="C12" s="46"/>
      <c r="D12" s="46"/>
      <c r="E12" s="46"/>
      <c r="F12" s="46"/>
      <c r="G12" s="46"/>
    </row>
    <row r="13" ht="21" customHeight="1" spans="2:7" x14ac:dyDescent="0.25">
      <c r="B13" s="47">
        <f>IF(C13="","","C"&amp;(ROW()-8))</f>
      </c>
      <c r="C13" s="46"/>
      <c r="D13" s="46"/>
      <c r="E13" s="46"/>
      <c r="F13" s="46"/>
      <c r="G13" s="46"/>
    </row>
    <row r="14" ht="21" customHeight="1" spans="2:7" x14ac:dyDescent="0.25">
      <c r="B14" s="47">
        <f>IF(C14="","","C"&amp;(ROW()-8))</f>
      </c>
      <c r="C14" s="46"/>
      <c r="D14" s="46"/>
      <c r="E14" s="46"/>
      <c r="F14" s="46"/>
      <c r="G14" s="46"/>
    </row>
    <row r="15" ht="21" customHeight="1" spans="2:7" x14ac:dyDescent="0.25">
      <c r="B15" s="47">
        <f>IF(C15="","","C"&amp;(ROW()-8))</f>
      </c>
      <c r="C15" s="46"/>
      <c r="D15" s="46"/>
      <c r="E15" s="46"/>
      <c r="F15" s="46"/>
      <c r="G15" s="46"/>
    </row>
    <row r="16" ht="21" customHeight="1" spans="2:7" x14ac:dyDescent="0.25">
      <c r="B16" s="47">
        <f>IF(C16="","","C"&amp;(ROW()-8))</f>
      </c>
      <c r="C16" s="46"/>
      <c r="D16" s="46"/>
      <c r="E16" s="46"/>
      <c r="F16" s="46"/>
      <c r="G16" s="46"/>
    </row>
    <row r="17" ht="21" customHeight="1" spans="2:7" x14ac:dyDescent="0.25">
      <c r="B17" s="47">
        <f>IF(C17="","","C"&amp;(ROW()-8))</f>
      </c>
      <c r="C17" s="46"/>
      <c r="D17" s="46"/>
      <c r="E17" s="46"/>
      <c r="F17" s="46"/>
      <c r="G17" s="46"/>
    </row>
    <row r="18" ht="21" customHeight="1" spans="2:7" x14ac:dyDescent="0.25">
      <c r="B18" s="47">
        <f>IF(C18="","","C"&amp;(ROW()-8))</f>
      </c>
      <c r="C18" s="46"/>
      <c r="D18" s="46"/>
      <c r="E18" s="46"/>
      <c r="F18" s="46"/>
      <c r="G18" s="46"/>
    </row>
    <row r="19" ht="21" customHeight="1" spans="2:7" x14ac:dyDescent="0.25">
      <c r="B19" s="47">
        <f>IF(C19="","","C"&amp;(ROW()-8))</f>
      </c>
      <c r="C19" s="46"/>
      <c r="D19" s="46"/>
      <c r="E19" s="46"/>
      <c r="F19" s="46"/>
      <c r="G19" s="46"/>
    </row>
    <row r="20" ht="21" customHeight="1" spans="2:7" x14ac:dyDescent="0.25">
      <c r="B20" s="47">
        <f>IF(C20="","","C"&amp;(ROW()-8))</f>
      </c>
      <c r="C20" s="46"/>
      <c r="D20" s="46"/>
      <c r="E20" s="46"/>
      <c r="F20" s="46"/>
      <c r="G20" s="46"/>
    </row>
    <row r="21" ht="21" customHeight="1" spans="2:7" x14ac:dyDescent="0.25">
      <c r="B21" s="47">
        <f>IF(C21="","","C"&amp;(ROW()-8))</f>
      </c>
      <c r="C21" s="46"/>
      <c r="D21" s="46"/>
      <c r="E21" s="46"/>
      <c r="F21" s="46"/>
      <c r="G21" s="46"/>
    </row>
    <row r="22" ht="21" customHeight="1" spans="2:7" x14ac:dyDescent="0.25">
      <c r="B22" s="47">
        <f>IF(C22="","","C"&amp;(ROW()-8))</f>
      </c>
      <c r="C22" s="46"/>
      <c r="D22" s="46"/>
      <c r="E22" s="46"/>
      <c r="F22" s="46"/>
      <c r="G22" s="46"/>
    </row>
    <row r="23" ht="21" customHeight="1" spans="2:7" x14ac:dyDescent="0.25">
      <c r="B23" s="47">
        <f>IF(C23="","","C"&amp;(ROW()-8))</f>
      </c>
      <c r="C23" s="46"/>
      <c r="D23" s="46"/>
      <c r="E23" s="46"/>
      <c r="F23" s="46"/>
      <c r="G23" s="46"/>
    </row>
    <row r="24" ht="21" customHeight="1" spans="2:7" x14ac:dyDescent="0.25">
      <c r="B24" s="47">
        <f>IF(C24="","","C"&amp;(ROW()-8))</f>
      </c>
      <c r="C24" s="46"/>
      <c r="D24" s="46"/>
      <c r="E24" s="46"/>
      <c r="F24" s="46"/>
      <c r="G24" s="46"/>
    </row>
    <row r="25" ht="21" customHeight="1" spans="2:7" x14ac:dyDescent="0.25">
      <c r="B25" s="47">
        <f>IF(C25="","","C"&amp;(ROW()-8))</f>
      </c>
      <c r="C25" s="46"/>
      <c r="D25" s="46"/>
      <c r="E25" s="46"/>
      <c r="F25" s="46"/>
      <c r="G25" s="46"/>
    </row>
    <row r="26" ht="21" customHeight="1" spans="2:7" x14ac:dyDescent="0.25">
      <c r="B26" s="47">
        <f>IF(C26="","","C"&amp;(ROW()-8))</f>
      </c>
      <c r="C26" s="46"/>
      <c r="D26" s="46"/>
      <c r="E26" s="46"/>
      <c r="F26" s="46"/>
      <c r="G26" s="46"/>
    </row>
    <row r="27" ht="21" customHeight="1" spans="2:7" x14ac:dyDescent="0.25">
      <c r="B27" s="47">
        <f>IF(C27="","","C"&amp;(ROW()-8))</f>
      </c>
      <c r="C27" s="46"/>
      <c r="D27" s="46"/>
      <c r="E27" s="46"/>
      <c r="F27" s="46"/>
      <c r="G27" s="46"/>
    </row>
    <row r="28" ht="21" customHeight="1" spans="2:7" x14ac:dyDescent="0.25">
      <c r="B28" s="47">
        <f>IF(C28="","","C"&amp;(ROW()-8))</f>
      </c>
      <c r="C28" s="46"/>
      <c r="D28" s="46"/>
      <c r="E28" s="46"/>
      <c r="F28" s="46"/>
      <c r="G28" s="46"/>
    </row>
    <row r="29" ht="21" customHeight="1" spans="2:7" x14ac:dyDescent="0.25">
      <c r="B29" s="47">
        <f>IF(C29="","","C"&amp;(ROW()-8))</f>
      </c>
      <c r="C29" s="46"/>
      <c r="D29" s="46"/>
      <c r="E29" s="46"/>
      <c r="F29" s="46"/>
      <c r="G29" s="46"/>
    </row>
    <row r="30" ht="21" customHeight="1" spans="2:7" x14ac:dyDescent="0.25">
      <c r="B30" s="47">
        <f>IF(C30="","","C"&amp;(ROW()-8))</f>
      </c>
      <c r="C30" s="46"/>
      <c r="D30" s="46"/>
      <c r="E30" s="46"/>
      <c r="F30" s="46"/>
      <c r="G30" s="46"/>
    </row>
    <row r="31" ht="21" customHeight="1" spans="2:7" x14ac:dyDescent="0.25">
      <c r="B31" s="47">
        <f>IF(C31="","","C"&amp;(ROW()-8))</f>
      </c>
      <c r="C31" s="46"/>
      <c r="D31" s="46"/>
      <c r="E31" s="46"/>
      <c r="F31" s="46"/>
      <c r="G31" s="46"/>
    </row>
    <row r="32" ht="21" customHeight="1" spans="2:7" x14ac:dyDescent="0.25">
      <c r="B32" s="47">
        <f>IF(C32="","","C"&amp;(ROW()-8))</f>
      </c>
      <c r="C32" s="46"/>
      <c r="D32" s="46"/>
      <c r="E32" s="46"/>
      <c r="F32" s="46"/>
      <c r="G32" s="46"/>
    </row>
    <row r="33" ht="21" customHeight="1" spans="2:7" x14ac:dyDescent="0.25">
      <c r="B33" s="47">
        <f>IF(C33="","","C"&amp;(ROW()-8))</f>
      </c>
      <c r="C33" s="46"/>
      <c r="D33" s="46"/>
      <c r="E33" s="46"/>
      <c r="F33" s="46"/>
      <c r="G33" s="46"/>
    </row>
    <row r="34" ht="21" customHeight="1" spans="2:7" x14ac:dyDescent="0.25">
      <c r="B34" s="47">
        <f>IF(C34="","","C"&amp;(ROW()-8))</f>
      </c>
      <c r="C34" s="46"/>
      <c r="D34" s="46"/>
      <c r="E34" s="46"/>
      <c r="F34" s="46"/>
      <c r="G34" s="46"/>
    </row>
    <row r="35" ht="21" customHeight="1" spans="2:7" x14ac:dyDescent="0.25">
      <c r="B35" s="47">
        <f>IF(C35="","","C"&amp;(ROW()-8))</f>
      </c>
      <c r="C35" s="46"/>
      <c r="D35" s="46"/>
      <c r="E35" s="46"/>
      <c r="F35" s="46"/>
      <c r="G35" s="46"/>
    </row>
    <row r="36" ht="21" customHeight="1" spans="2:7" x14ac:dyDescent="0.25">
      <c r="B36" s="47">
        <f>IF(C36="","","C"&amp;(ROW()-8))</f>
      </c>
      <c r="C36" s="46"/>
      <c r="D36" s="46"/>
      <c r="E36" s="46"/>
      <c r="F36" s="46"/>
      <c r="G36" s="46"/>
    </row>
    <row r="37" ht="21" customHeight="1" spans="2:7" x14ac:dyDescent="0.25">
      <c r="B37" s="47">
        <f>IF(C37="","","C"&amp;(ROW()-8))</f>
      </c>
      <c r="C37" s="46"/>
      <c r="D37" s="46"/>
      <c r="E37" s="46"/>
      <c r="F37" s="46"/>
      <c r="G37" s="46"/>
    </row>
    <row r="38" ht="21" customHeight="1" spans="2:7" x14ac:dyDescent="0.25">
      <c r="B38" s="47">
        <f>IF(C38="","","C"&amp;(ROW()-8))</f>
      </c>
      <c r="C38" s="46"/>
      <c r="D38" s="46"/>
      <c r="E38" s="46"/>
      <c r="F38" s="46"/>
      <c r="G38" s="46"/>
    </row>
  </sheetData>
  <sheetProtection sheet="1" formatColumns="0" formatRows="0" sort="0" autoFilter="0"/>
  <autoFilter ref="B8:G8"/>
  <conditionalFormatting sqref="C9:C38">
    <cfRule type="expression" dxfId="45" priority="1">
      <formula>AND(OR($C9&lt;&gt;"",$D9&lt;&gt;"",$E9&lt;&gt;"",$F9&lt;&gt;"",$G9&lt;&gt;""),C9="")</formula>
    </cfRule>
  </conditionalFormatting>
  <conditionalFormatting sqref="D9:D38">
    <cfRule type="expression" dxfId="46" priority="1">
      <formula>AND(OR($C9&lt;&gt;"",$D9&lt;&gt;"",$E9&lt;&gt;"",$F9&lt;&gt;"",$G9&lt;&gt;""),D9="")</formula>
    </cfRule>
  </conditionalFormatting>
  <dataValidations count="6">
    <dataValidation type="list" allowBlank="1" showErrorMessage="1" errorStyle="stop" errorTitle="Valeur hors liste" error="Choisissez une valeur dans la liste. Elle se remplit à partir de l’onglet correspondant." sqref="D10:D3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D9:D3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E10:E38">
      <formula1>L_Lots</formula1>
    </dataValidation>
    <dataValidation type="list" allowBlank="1" showErrorMessage="1" errorStyle="stop" errorTitle="Valeur hors liste" error="Choisissez une valeur dans la liste. Elle se remplit à partir de l’onglet correspondant." sqref="E9:E38">
      <formula1>L_Lots</formula1>
    </dataValidation>
    <dataValidation type="list" allowBlank="1" showErrorMessage="1" errorStyle="stop" errorTitle="Valeur hors liste" error="Choisissez une valeur dans la liste. Elle se remplit à partir de l’onglet correspondant." sqref="F10:F38">
      <formula1>L_StatutChantier</formula1>
    </dataValidation>
    <dataValidation type="list" allowBlank="1" showErrorMessage="1" errorStyle="stop" errorTitle="Valeur hors liste" error="Choisissez une valeur dans la liste. Elle se remplit à partir de l’onglet correspondant." sqref="F9:F38">
      <formula1>L_StatutChantier</formula1>
    </dataValidation>
  </dataValidations>
  <hyperlinks>
    <hyperlink ref="G3" r:id="rId1" location="#'Complétude'!A1"/>
  </hyperlinks>
  <pageMargins left="0.4" right="0.4" top="0.5" bottom="0.5" header="0.2" footer="0.2"/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CC4"/>
    <pageSetUpPr fitToPage="1"/>
  </sheetPr>
  <dimension ref="B1:J2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8" customWidth="1"/>
    <col min="3" max="3" width="13" customWidth="1"/>
    <col min="4" max="4" width="12" customWidth="1"/>
    <col min="5" max="5" width="3.5" customWidth="1"/>
    <col min="6" max="6" width="16" customWidth="1"/>
    <col min="7" max="7" width="14" customWidth="1"/>
    <col min="8" max="8" width="44" customWidth="1"/>
    <col min="9" max="9" width="10" customWidth="1"/>
    <col min="10" max="10" width="22" customWidth="1"/>
  </cols>
  <sheetData>
    <row r="1" ht="12" customHeight="1" x14ac:dyDescent="0.25"/>
    <row r="2" ht="34" customHeight="1" spans="2:10" x14ac:dyDescent="0.25">
      <c r="B2" s="1" t="s">
        <v>55</v>
      </c>
      <c r="J2" s="38">
        <f>'Complétude'!$I29</f>
      </c>
    </row>
    <row r="3" ht="18" customHeight="1" spans="2:10" x14ac:dyDescent="0.25">
      <c r="B3" s="2" t="s">
        <v>223</v>
      </c>
      <c r="J3" s="39" t="s">
        <v>156</v>
      </c>
    </row>
    <row r="4" ht="18" customHeight="1" spans="2:2" x14ac:dyDescent="0.25">
      <c r="B4" t="s">
        <v>224</v>
      </c>
    </row>
    <row r="5" ht="16" customHeight="1" spans="2:2" x14ac:dyDescent="0.25">
      <c r="B5" s="40" t="s">
        <v>225</v>
      </c>
    </row>
    <row r="6" ht="10" customHeight="1" x14ac:dyDescent="0.25"/>
    <row r="7" ht="15" customHeight="1" spans="2:10" x14ac:dyDescent="0.25">
      <c r="B7" s="41" t="s">
        <v>159</v>
      </c>
      <c r="C7" s="41" t="s">
        <v>159</v>
      </c>
      <c r="D7" s="41" t="s">
        <v>173</v>
      </c>
      <c r="E7" s="43" t="s">
        <v>226</v>
      </c>
      <c r="F7" s="41" t="s">
        <v>173</v>
      </c>
      <c r="G7" s="42" t="s">
        <v>174</v>
      </c>
      <c r="H7" s="42" t="s">
        <v>160</v>
      </c>
      <c r="I7" s="43" t="s">
        <v>161</v>
      </c>
      <c r="J7" s="43" t="s">
        <v>162</v>
      </c>
    </row>
    <row r="8" ht="26" customHeight="1" spans="2:10" x14ac:dyDescent="0.25">
      <c r="B8" s="44" t="s">
        <v>163</v>
      </c>
      <c r="C8" s="44" t="s">
        <v>121</v>
      </c>
      <c r="D8" s="44" t="s">
        <v>227</v>
      </c>
      <c r="E8" s="45" t="s">
        <v>226</v>
      </c>
      <c r="F8" s="44" t="s">
        <v>228</v>
      </c>
      <c r="G8" s="44" t="s">
        <v>229</v>
      </c>
      <c r="H8" s="44" t="s">
        <v>230</v>
      </c>
      <c r="I8" s="45" t="s">
        <v>231</v>
      </c>
      <c r="J8" s="45" t="s">
        <v>150</v>
      </c>
    </row>
    <row r="9" ht="21" customHeight="1" spans="2:10" x14ac:dyDescent="0.25">
      <c r="B9" s="46"/>
      <c r="C9" s="46"/>
      <c r="D9" s="46"/>
      <c r="E9" s="59">
        <f>""</f>
      </c>
      <c r="F9" s="46"/>
      <c r="G9" s="46"/>
      <c r="H9" s="46"/>
      <c r="I9" s="47">
        <f>IF(B9="","",COUNTIF('11 Membres'!$B$9:$B$208,B9))</f>
      </c>
      <c r="J9" s="48">
        <f>IF(B9="","",IF(AND(C9&lt;&gt;"",COUNTIF($C$9:$C$28,C9)&gt;1),"⚠ Nom court en double",IF(I9=0,"◔ Aucun membre","✓")))</f>
      </c>
    </row>
    <row r="10" ht="21" customHeight="1" spans="2:10" x14ac:dyDescent="0.25">
      <c r="B10" s="46"/>
      <c r="C10" s="46"/>
      <c r="D10" s="46"/>
      <c r="E10" s="59">
        <f>""</f>
      </c>
      <c r="F10" s="46"/>
      <c r="G10" s="46"/>
      <c r="H10" s="46"/>
      <c r="I10" s="47">
        <f>IF(B10="","",COUNTIF('11 Membres'!$B$9:$B$208,B10))</f>
      </c>
      <c r="J10" s="48">
        <f>IF(B10="","",IF(AND(C10&lt;&gt;"",COUNTIF($C$9:$C$28,C10)&gt;1),"⚠ Nom court en double",IF(I10=0,"◔ Aucun membre","✓")))</f>
      </c>
    </row>
    <row r="11" ht="21" customHeight="1" spans="2:10" x14ac:dyDescent="0.25">
      <c r="B11" s="46"/>
      <c r="C11" s="46"/>
      <c r="D11" s="46"/>
      <c r="E11" s="59">
        <f>""</f>
      </c>
      <c r="F11" s="46"/>
      <c r="G11" s="46"/>
      <c r="H11" s="46"/>
      <c r="I11" s="47">
        <f>IF(B11="","",COUNTIF('11 Membres'!$B$9:$B$208,B11))</f>
      </c>
      <c r="J11" s="48">
        <f>IF(B11="","",IF(AND(C11&lt;&gt;"",COUNTIF($C$9:$C$28,C11)&gt;1),"⚠ Nom court en double",IF(I11=0,"◔ Aucun membre","✓")))</f>
      </c>
    </row>
    <row r="12" ht="21" customHeight="1" spans="2:10" x14ac:dyDescent="0.25">
      <c r="B12" s="46"/>
      <c r="C12" s="46"/>
      <c r="D12" s="46"/>
      <c r="E12" s="59">
        <f>""</f>
      </c>
      <c r="F12" s="46"/>
      <c r="G12" s="46"/>
      <c r="H12" s="46"/>
      <c r="I12" s="47">
        <f>IF(B12="","",COUNTIF('11 Membres'!$B$9:$B$208,B12))</f>
      </c>
      <c r="J12" s="48">
        <f>IF(B12="","",IF(AND(C12&lt;&gt;"",COUNTIF($C$9:$C$28,C12)&gt;1),"⚠ Nom court en double",IF(I12=0,"◔ Aucun membre","✓")))</f>
      </c>
    </row>
    <row r="13" ht="21" customHeight="1" spans="2:10" x14ac:dyDescent="0.25">
      <c r="B13" s="46"/>
      <c r="C13" s="46"/>
      <c r="D13" s="46"/>
      <c r="E13" s="59">
        <f>""</f>
      </c>
      <c r="F13" s="46"/>
      <c r="G13" s="46"/>
      <c r="H13" s="46"/>
      <c r="I13" s="47">
        <f>IF(B13="","",COUNTIF('11 Membres'!$B$9:$B$208,B13))</f>
      </c>
      <c r="J13" s="48">
        <f>IF(B13="","",IF(AND(C13&lt;&gt;"",COUNTIF($C$9:$C$28,C13)&gt;1),"⚠ Nom court en double",IF(I13=0,"◔ Aucun membre","✓")))</f>
      </c>
    </row>
    <row r="14" ht="21" customHeight="1" spans="2:10" x14ac:dyDescent="0.25">
      <c r="B14" s="46"/>
      <c r="C14" s="46"/>
      <c r="D14" s="46"/>
      <c r="E14" s="59">
        <f>""</f>
      </c>
      <c r="F14" s="46"/>
      <c r="G14" s="46"/>
      <c r="H14" s="46"/>
      <c r="I14" s="47">
        <f>IF(B14="","",COUNTIF('11 Membres'!$B$9:$B$208,B14))</f>
      </c>
      <c r="J14" s="48">
        <f>IF(B14="","",IF(AND(C14&lt;&gt;"",COUNTIF($C$9:$C$28,C14)&gt;1),"⚠ Nom court en double",IF(I14=0,"◔ Aucun membre","✓")))</f>
      </c>
    </row>
    <row r="15" ht="21" customHeight="1" spans="2:10" x14ac:dyDescent="0.25">
      <c r="B15" s="46"/>
      <c r="C15" s="46"/>
      <c r="D15" s="46"/>
      <c r="E15" s="59">
        <f>""</f>
      </c>
      <c r="F15" s="46"/>
      <c r="G15" s="46"/>
      <c r="H15" s="46"/>
      <c r="I15" s="47">
        <f>IF(B15="","",COUNTIF('11 Membres'!$B$9:$B$208,B15))</f>
      </c>
      <c r="J15" s="48">
        <f>IF(B15="","",IF(AND(C15&lt;&gt;"",COUNTIF($C$9:$C$28,C15)&gt;1),"⚠ Nom court en double",IF(I15=0,"◔ Aucun membre","✓")))</f>
      </c>
    </row>
    <row r="16" ht="21" customHeight="1" spans="2:10" x14ac:dyDescent="0.25">
      <c r="B16" s="46"/>
      <c r="C16" s="46"/>
      <c r="D16" s="46"/>
      <c r="E16" s="59">
        <f>""</f>
      </c>
      <c r="F16" s="46"/>
      <c r="G16" s="46"/>
      <c r="H16" s="46"/>
      <c r="I16" s="47">
        <f>IF(B16="","",COUNTIF('11 Membres'!$B$9:$B$208,B16))</f>
      </c>
      <c r="J16" s="48">
        <f>IF(B16="","",IF(AND(C16&lt;&gt;"",COUNTIF($C$9:$C$28,C16)&gt;1),"⚠ Nom court en double",IF(I16=0,"◔ Aucun membre","✓")))</f>
      </c>
    </row>
    <row r="17" ht="21" customHeight="1" spans="2:10" x14ac:dyDescent="0.25">
      <c r="B17" s="46"/>
      <c r="C17" s="46"/>
      <c r="D17" s="46"/>
      <c r="E17" s="59">
        <f>""</f>
      </c>
      <c r="F17" s="46"/>
      <c r="G17" s="46"/>
      <c r="H17" s="46"/>
      <c r="I17" s="47">
        <f>IF(B17="","",COUNTIF('11 Membres'!$B$9:$B$208,B17))</f>
      </c>
      <c r="J17" s="48">
        <f>IF(B17="","",IF(AND(C17&lt;&gt;"",COUNTIF($C$9:$C$28,C17)&gt;1),"⚠ Nom court en double",IF(I17=0,"◔ Aucun membre","✓")))</f>
      </c>
    </row>
    <row r="18" ht="21" customHeight="1" spans="2:10" x14ac:dyDescent="0.25">
      <c r="B18" s="46"/>
      <c r="C18" s="46"/>
      <c r="D18" s="46"/>
      <c r="E18" s="59">
        <f>""</f>
      </c>
      <c r="F18" s="46"/>
      <c r="G18" s="46"/>
      <c r="H18" s="46"/>
      <c r="I18" s="47">
        <f>IF(B18="","",COUNTIF('11 Membres'!$B$9:$B$208,B18))</f>
      </c>
      <c r="J18" s="48">
        <f>IF(B18="","",IF(AND(C18&lt;&gt;"",COUNTIF($C$9:$C$28,C18)&gt;1),"⚠ Nom court en double",IF(I18=0,"◔ Aucun membre","✓")))</f>
      </c>
    </row>
    <row r="19" ht="21" customHeight="1" spans="2:10" x14ac:dyDescent="0.25">
      <c r="B19" s="46"/>
      <c r="C19" s="46"/>
      <c r="D19" s="46"/>
      <c r="E19" s="59">
        <f>""</f>
      </c>
      <c r="F19" s="46"/>
      <c r="G19" s="46"/>
      <c r="H19" s="46"/>
      <c r="I19" s="47">
        <f>IF(B19="","",COUNTIF('11 Membres'!$B$9:$B$208,B19))</f>
      </c>
      <c r="J19" s="48">
        <f>IF(B19="","",IF(AND(C19&lt;&gt;"",COUNTIF($C$9:$C$28,C19)&gt;1),"⚠ Nom court en double",IF(I19=0,"◔ Aucun membre","✓")))</f>
      </c>
    </row>
    <row r="20" ht="21" customHeight="1" spans="2:10" x14ac:dyDescent="0.25">
      <c r="B20" s="46"/>
      <c r="C20" s="46"/>
      <c r="D20" s="46"/>
      <c r="E20" s="59">
        <f>""</f>
      </c>
      <c r="F20" s="46"/>
      <c r="G20" s="46"/>
      <c r="H20" s="46"/>
      <c r="I20" s="47">
        <f>IF(B20="","",COUNTIF('11 Membres'!$B$9:$B$208,B20))</f>
      </c>
      <c r="J20" s="48">
        <f>IF(B20="","",IF(AND(C20&lt;&gt;"",COUNTIF($C$9:$C$28,C20)&gt;1),"⚠ Nom court en double",IF(I20=0,"◔ Aucun membre","✓")))</f>
      </c>
    </row>
    <row r="21" ht="21" customHeight="1" spans="2:10" x14ac:dyDescent="0.25">
      <c r="B21" s="46"/>
      <c r="C21" s="46"/>
      <c r="D21" s="46"/>
      <c r="E21" s="59">
        <f>""</f>
      </c>
      <c r="F21" s="46"/>
      <c r="G21" s="46"/>
      <c r="H21" s="46"/>
      <c r="I21" s="47">
        <f>IF(B21="","",COUNTIF('11 Membres'!$B$9:$B$208,B21))</f>
      </c>
      <c r="J21" s="48">
        <f>IF(B21="","",IF(AND(C21&lt;&gt;"",COUNTIF($C$9:$C$28,C21)&gt;1),"⚠ Nom court en double",IF(I21=0,"◔ Aucun membre","✓")))</f>
      </c>
    </row>
    <row r="22" ht="21" customHeight="1" spans="2:10" x14ac:dyDescent="0.25">
      <c r="B22" s="46"/>
      <c r="C22" s="46"/>
      <c r="D22" s="46"/>
      <c r="E22" s="59">
        <f>""</f>
      </c>
      <c r="F22" s="46"/>
      <c r="G22" s="46"/>
      <c r="H22" s="46"/>
      <c r="I22" s="47">
        <f>IF(B22="","",COUNTIF('11 Membres'!$B$9:$B$208,B22))</f>
      </c>
      <c r="J22" s="48">
        <f>IF(B22="","",IF(AND(C22&lt;&gt;"",COUNTIF($C$9:$C$28,C22)&gt;1),"⚠ Nom court en double",IF(I22=0,"◔ Aucun membre","✓")))</f>
      </c>
    </row>
    <row r="23" ht="21" customHeight="1" spans="2:10" x14ac:dyDescent="0.25">
      <c r="B23" s="46"/>
      <c r="C23" s="46"/>
      <c r="D23" s="46"/>
      <c r="E23" s="59">
        <f>""</f>
      </c>
      <c r="F23" s="46"/>
      <c r="G23" s="46"/>
      <c r="H23" s="46"/>
      <c r="I23" s="47">
        <f>IF(B23="","",COUNTIF('11 Membres'!$B$9:$B$208,B23))</f>
      </c>
      <c r="J23" s="48">
        <f>IF(B23="","",IF(AND(C23&lt;&gt;"",COUNTIF($C$9:$C$28,C23)&gt;1),"⚠ Nom court en double",IF(I23=0,"◔ Aucun membre","✓")))</f>
      </c>
    </row>
    <row r="24" ht="21" customHeight="1" spans="2:10" x14ac:dyDescent="0.25">
      <c r="B24" s="46"/>
      <c r="C24" s="46"/>
      <c r="D24" s="46"/>
      <c r="E24" s="59">
        <f>""</f>
      </c>
      <c r="F24" s="46"/>
      <c r="G24" s="46"/>
      <c r="H24" s="46"/>
      <c r="I24" s="47">
        <f>IF(B24="","",COUNTIF('11 Membres'!$B$9:$B$208,B24))</f>
      </c>
      <c r="J24" s="48">
        <f>IF(B24="","",IF(AND(C24&lt;&gt;"",COUNTIF($C$9:$C$28,C24)&gt;1),"⚠ Nom court en double",IF(I24=0,"◔ Aucun membre","✓")))</f>
      </c>
    </row>
    <row r="25" ht="21" customHeight="1" spans="2:10" x14ac:dyDescent="0.25">
      <c r="B25" s="46"/>
      <c r="C25" s="46"/>
      <c r="D25" s="46"/>
      <c r="E25" s="59">
        <f>""</f>
      </c>
      <c r="F25" s="46"/>
      <c r="G25" s="46"/>
      <c r="H25" s="46"/>
      <c r="I25" s="47">
        <f>IF(B25="","",COUNTIF('11 Membres'!$B$9:$B$208,B25))</f>
      </c>
      <c r="J25" s="48">
        <f>IF(B25="","",IF(AND(C25&lt;&gt;"",COUNTIF($C$9:$C$28,C25)&gt;1),"⚠ Nom court en double",IF(I25=0,"◔ Aucun membre","✓")))</f>
      </c>
    </row>
    <row r="26" ht="21" customHeight="1" spans="2:10" x14ac:dyDescent="0.25">
      <c r="B26" s="46"/>
      <c r="C26" s="46"/>
      <c r="D26" s="46"/>
      <c r="E26" s="59">
        <f>""</f>
      </c>
      <c r="F26" s="46"/>
      <c r="G26" s="46"/>
      <c r="H26" s="46"/>
      <c r="I26" s="47">
        <f>IF(B26="","",COUNTIF('11 Membres'!$B$9:$B$208,B26))</f>
      </c>
      <c r="J26" s="48">
        <f>IF(B26="","",IF(AND(C26&lt;&gt;"",COUNTIF($C$9:$C$28,C26)&gt;1),"⚠ Nom court en double",IF(I26=0,"◔ Aucun membre","✓")))</f>
      </c>
    </row>
    <row r="27" ht="21" customHeight="1" spans="2:10" x14ac:dyDescent="0.25">
      <c r="B27" s="46"/>
      <c r="C27" s="46"/>
      <c r="D27" s="46"/>
      <c r="E27" s="59">
        <f>""</f>
      </c>
      <c r="F27" s="46"/>
      <c r="G27" s="46"/>
      <c r="H27" s="46"/>
      <c r="I27" s="47">
        <f>IF(B27="","",COUNTIF('11 Membres'!$B$9:$B$208,B27))</f>
      </c>
      <c r="J27" s="48">
        <f>IF(B27="","",IF(AND(C27&lt;&gt;"",COUNTIF($C$9:$C$28,C27)&gt;1),"⚠ Nom court en double",IF(I27=0,"◔ Aucun membre","✓")))</f>
      </c>
    </row>
    <row r="28" ht="21" customHeight="1" spans="2:10" x14ac:dyDescent="0.25">
      <c r="B28" s="46"/>
      <c r="C28" s="46"/>
      <c r="D28" s="46"/>
      <c r="E28" s="59">
        <f>""</f>
      </c>
      <c r="F28" s="46"/>
      <c r="G28" s="46"/>
      <c r="H28" s="46"/>
      <c r="I28" s="47">
        <f>IF(B28="","",COUNTIF('11 Membres'!$B$9:$B$208,B28))</f>
      </c>
      <c r="J28" s="48">
        <f>IF(B28="","",IF(AND(C28&lt;&gt;"",COUNTIF($C$9:$C$28,C28)&gt;1),"⚠ Nom court en double",IF(I28=0,"◔ Aucun membre","✓")))</f>
      </c>
    </row>
  </sheetData>
  <sheetProtection sheet="1" formatColumns="0" formatRows="0" sort="0" autoFilter="0"/>
  <autoFilter ref="B8:J8"/>
  <conditionalFormatting sqref="B9:B28">
    <cfRule type="expression" dxfId="47" priority="1">
      <formula>AND(OR($B9&lt;&gt;"",$C9&lt;&gt;"",$D9&lt;&gt;"",$F9&lt;&gt;"",$G9&lt;&gt;"",$H9&lt;&gt;""),B9="")</formula>
    </cfRule>
  </conditionalFormatting>
  <conditionalFormatting sqref="C9:C28">
    <cfRule type="expression" dxfId="48" priority="1">
      <formula>AND(OR($B9&lt;&gt;"",$C9&lt;&gt;"",$D9&lt;&gt;"",$F9&lt;&gt;"",$G9&lt;&gt;"",$H9&lt;&gt;""),C9="")</formula>
    </cfRule>
  </conditionalFormatting>
  <conditionalFormatting sqref="D9:D28">
    <cfRule type="expression" dxfId="49" priority="1">
      <formula>AND(OR($B9&lt;&gt;"",$C9&lt;&gt;"",$D9&lt;&gt;"",$F9&lt;&gt;"",$G9&lt;&gt;"",$H9&lt;&gt;""),D9="")</formula>
    </cfRule>
  </conditionalFormatting>
  <conditionalFormatting sqref="F9:F28">
    <cfRule type="expression" dxfId="50" priority="1">
      <formula>AND(OR($B9&lt;&gt;"",$C9&lt;&gt;"",$D9&lt;&gt;"",$F9&lt;&gt;"",$G9&lt;&gt;"",$H9&lt;&gt;""),F9="")</formula>
    </cfRule>
  </conditionalFormatting>
  <conditionalFormatting sqref="J9:J28">
    <cfRule type="containsText" dxfId="51" priority="2">
      <formula>NOT(ISERROR(SEARCH("⚠",J9)))</formula>
    </cfRule>
    <cfRule type="containsText" dxfId="52" priority="3">
      <formula>NOT(ISERROR(SEARCH("◔",J9)))</formula>
    </cfRule>
  </conditionalFormatting>
  <conditionalFormatting sqref="E9:E28">
    <cfRule type="expression" dxfId="53" priority="10">
      <formula>$D9="Marine"</formula>
    </cfRule>
    <cfRule type="expression" dxfId="54" priority="11">
      <formula>$D9="Sarcelle"</formula>
    </cfRule>
    <cfRule type="expression" dxfId="55" priority="12">
      <formula>$D9="Bleu"</formula>
    </cfRule>
    <cfRule type="expression" dxfId="56" priority="13">
      <formula>$D9="Ambre"</formula>
    </cfRule>
    <cfRule type="expression" dxfId="57" priority="14">
      <formula>$D9="Rouge"</formula>
    </cfRule>
    <cfRule type="expression" dxfId="58" priority="15">
      <formula>$D9="Violet"</formula>
    </cfRule>
    <cfRule type="expression" dxfId="59" priority="16">
      <formula>$D9="Olive"</formula>
    </cfRule>
    <cfRule type="expression" dxfId="60" priority="17">
      <formula>$D9="Gris"</formula>
    </cfRule>
  </conditionalFormatting>
  <dataValidations count="6">
    <dataValidation type="list" allowBlank="1" showErrorMessage="1" errorStyle="stop" errorTitle="Valeur hors liste" error="Choisissez une valeur dans la liste. Elle se remplit à partir de l’onglet correspondant." sqref="D10:D28">
      <formula1>L_Couleur</formula1>
    </dataValidation>
    <dataValidation type="list" allowBlank="1" showErrorMessage="1" errorStyle="stop" errorTitle="Valeur hors liste" error="Choisissez une valeur dans la liste. Elle se remplit à partir de l’onglet correspondant." sqref="D9:D28">
      <formula1>L_Couleur</formula1>
    </dataValidation>
    <dataValidation type="list" allowBlank="1" showErrorMessage="1" errorStyle="stop" errorTitle="Valeur hors liste" error="Choisissez une valeur dans la liste. Elle se remplit à partir de l’onglet correspondant." sqref="F10:F28">
      <formula1>L_Frequence</formula1>
    </dataValidation>
    <dataValidation type="list" allowBlank="1" showErrorMessage="1" errorStyle="stop" errorTitle="Valeur hors liste" error="Choisissez une valeur dans la liste. Elle se remplit à partir de l’onglet correspondant." sqref="F9:F28">
      <formula1>L_Frequence</formula1>
    </dataValidation>
    <dataValidation type="list" allowBlank="1" showErrorMessage="1" errorStyle="stop" errorTitle="Valeur hors liste" error="Choisissez une valeur dans la liste. Elle se remplit à partir de l’onglet correspondant." sqref="G10:G28">
      <formula1>L_Niveau</formula1>
    </dataValidation>
    <dataValidation type="list" allowBlank="1" showErrorMessage="1" errorStyle="stop" errorTitle="Valeur hors liste" error="Choisissez une valeur dans la liste. Elle se remplit à partir de l’onglet correspondant." sqref="G9:G28">
      <formula1>L_Niveau</formula1>
    </dataValidation>
  </dataValidations>
  <hyperlinks>
    <hyperlink ref="J3" r:id="rId1" location="#'Complétude'!A1"/>
  </hyperlinks>
  <pageMargins left="0.4" right="0.4" top="0.5" bottom="0.5" header="0.2" footer="0.2"/>
  <pageSetup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CC4"/>
    <pageSetUpPr fitToPage="1"/>
  </sheetPr>
  <dimension ref="B1:E20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8" customWidth="1"/>
    <col min="3" max="3" width="24" customWidth="1"/>
    <col min="4" max="4" width="19" customWidth="1"/>
    <col min="5" max="5" width="20" customWidth="1"/>
  </cols>
  <sheetData>
    <row r="1" ht="12" customHeight="1" x14ac:dyDescent="0.25"/>
    <row r="2" ht="34" customHeight="1" spans="2:5" x14ac:dyDescent="0.25">
      <c r="B2" s="1" t="s">
        <v>58</v>
      </c>
      <c r="E2" s="38">
        <f>'Complétude'!$I30</f>
      </c>
    </row>
    <row r="3" ht="18" customHeight="1" spans="2:5" x14ac:dyDescent="0.25">
      <c r="B3" s="2" t="s">
        <v>232</v>
      </c>
      <c r="E3" s="39" t="s">
        <v>156</v>
      </c>
    </row>
    <row r="4" ht="18" customHeight="1" spans="2:2" x14ac:dyDescent="0.25">
      <c r="B4" t="s">
        <v>233</v>
      </c>
    </row>
    <row r="5" ht="16" customHeight="1" spans="2:2" x14ac:dyDescent="0.25">
      <c r="B5" s="40" t="s">
        <v>234</v>
      </c>
    </row>
    <row r="6" ht="10" customHeight="1" x14ac:dyDescent="0.25"/>
    <row r="7" ht="15" customHeight="1" spans="2:5" x14ac:dyDescent="0.25">
      <c r="B7" s="41" t="s">
        <v>173</v>
      </c>
      <c r="C7" s="41" t="s">
        <v>173</v>
      </c>
      <c r="D7" s="42" t="s">
        <v>174</v>
      </c>
      <c r="E7" s="43" t="s">
        <v>162</v>
      </c>
    </row>
    <row r="8" ht="26" customHeight="1" spans="2:5" x14ac:dyDescent="0.25">
      <c r="B8" s="44" t="s">
        <v>235</v>
      </c>
      <c r="C8" s="44" t="s">
        <v>182</v>
      </c>
      <c r="D8" s="44" t="s">
        <v>236</v>
      </c>
      <c r="E8" s="45" t="s">
        <v>150</v>
      </c>
    </row>
    <row r="9" ht="21" customHeight="1" spans="2:5" x14ac:dyDescent="0.25">
      <c r="B9" s="46"/>
      <c r="C9" s="46"/>
      <c r="D9" s="46"/>
      <c r="E9" s="48">
        <f>IF(B9="","",IF(COUNTIFS($B$9:$B$208,B9,$C$9:$C$208,C9)&gt;1,"⚠ Doublon","✓"))</f>
      </c>
    </row>
    <row r="10" ht="21" customHeight="1" spans="2:5" x14ac:dyDescent="0.25">
      <c r="B10" s="46"/>
      <c r="C10" s="46"/>
      <c r="D10" s="46"/>
      <c r="E10" s="48">
        <f>IF(B10="","",IF(COUNTIFS($B$9:$B$208,B10,$C$9:$C$208,C10)&gt;1,"⚠ Doublon","✓"))</f>
      </c>
    </row>
    <row r="11" ht="21" customHeight="1" spans="2:5" x14ac:dyDescent="0.25">
      <c r="B11" s="46"/>
      <c r="C11" s="46"/>
      <c r="D11" s="46"/>
      <c r="E11" s="48">
        <f>IF(B11="","",IF(COUNTIFS($B$9:$B$208,B11,$C$9:$C$208,C11)&gt;1,"⚠ Doublon","✓"))</f>
      </c>
    </row>
    <row r="12" ht="21" customHeight="1" spans="2:5" x14ac:dyDescent="0.25">
      <c r="B12" s="46"/>
      <c r="C12" s="46"/>
      <c r="D12" s="46"/>
      <c r="E12" s="48">
        <f>IF(B12="","",IF(COUNTIFS($B$9:$B$208,B12,$C$9:$C$208,C12)&gt;1,"⚠ Doublon","✓"))</f>
      </c>
    </row>
    <row r="13" ht="21" customHeight="1" spans="2:5" x14ac:dyDescent="0.25">
      <c r="B13" s="46"/>
      <c r="C13" s="46"/>
      <c r="D13" s="46"/>
      <c r="E13" s="48">
        <f>IF(B13="","",IF(COUNTIFS($B$9:$B$208,B13,$C$9:$C$208,C13)&gt;1,"⚠ Doublon","✓"))</f>
      </c>
    </row>
    <row r="14" ht="21" customHeight="1" spans="2:5" x14ac:dyDescent="0.25">
      <c r="B14" s="46"/>
      <c r="C14" s="46"/>
      <c r="D14" s="46"/>
      <c r="E14" s="48">
        <f>IF(B14="","",IF(COUNTIFS($B$9:$B$208,B14,$C$9:$C$208,C14)&gt;1,"⚠ Doublon","✓"))</f>
      </c>
    </row>
    <row r="15" ht="21" customHeight="1" spans="2:5" x14ac:dyDescent="0.25">
      <c r="B15" s="46"/>
      <c r="C15" s="46"/>
      <c r="D15" s="46"/>
      <c r="E15" s="48">
        <f>IF(B15="","",IF(COUNTIFS($B$9:$B$208,B15,$C$9:$C$208,C15)&gt;1,"⚠ Doublon","✓"))</f>
      </c>
    </row>
    <row r="16" ht="21" customHeight="1" spans="2:5" x14ac:dyDescent="0.25">
      <c r="B16" s="46"/>
      <c r="C16" s="46"/>
      <c r="D16" s="46"/>
      <c r="E16" s="48">
        <f>IF(B16="","",IF(COUNTIFS($B$9:$B$208,B16,$C$9:$C$208,C16)&gt;1,"⚠ Doublon","✓"))</f>
      </c>
    </row>
    <row r="17" ht="21" customHeight="1" spans="2:5" x14ac:dyDescent="0.25">
      <c r="B17" s="46"/>
      <c r="C17" s="46"/>
      <c r="D17" s="46"/>
      <c r="E17" s="48">
        <f>IF(B17="","",IF(COUNTIFS($B$9:$B$208,B17,$C$9:$C$208,C17)&gt;1,"⚠ Doublon","✓"))</f>
      </c>
    </row>
    <row r="18" ht="21" customHeight="1" spans="2:5" x14ac:dyDescent="0.25">
      <c r="B18" s="46"/>
      <c r="C18" s="46"/>
      <c r="D18" s="46"/>
      <c r="E18" s="48">
        <f>IF(B18="","",IF(COUNTIFS($B$9:$B$208,B18,$C$9:$C$208,C18)&gt;1,"⚠ Doublon","✓"))</f>
      </c>
    </row>
    <row r="19" ht="21" customHeight="1" spans="2:5" x14ac:dyDescent="0.25">
      <c r="B19" s="46"/>
      <c r="C19" s="46"/>
      <c r="D19" s="46"/>
      <c r="E19" s="48">
        <f>IF(B19="","",IF(COUNTIFS($B$9:$B$208,B19,$C$9:$C$208,C19)&gt;1,"⚠ Doublon","✓"))</f>
      </c>
    </row>
    <row r="20" ht="21" customHeight="1" spans="2:5" x14ac:dyDescent="0.25">
      <c r="B20" s="46"/>
      <c r="C20" s="46"/>
      <c r="D20" s="46"/>
      <c r="E20" s="48">
        <f>IF(B20="","",IF(COUNTIFS($B$9:$B$208,B20,$C$9:$C$208,C20)&gt;1,"⚠ Doublon","✓"))</f>
      </c>
    </row>
    <row r="21" ht="21" customHeight="1" spans="2:5" x14ac:dyDescent="0.25">
      <c r="B21" s="46"/>
      <c r="C21" s="46"/>
      <c r="D21" s="46"/>
      <c r="E21" s="48">
        <f>IF(B21="","",IF(COUNTIFS($B$9:$B$208,B21,$C$9:$C$208,C21)&gt;1,"⚠ Doublon","✓"))</f>
      </c>
    </row>
    <row r="22" ht="21" customHeight="1" spans="2:5" x14ac:dyDescent="0.25">
      <c r="B22" s="46"/>
      <c r="C22" s="46"/>
      <c r="D22" s="46"/>
      <c r="E22" s="48">
        <f>IF(B22="","",IF(COUNTIFS($B$9:$B$208,B22,$C$9:$C$208,C22)&gt;1,"⚠ Doublon","✓"))</f>
      </c>
    </row>
    <row r="23" ht="21" customHeight="1" spans="2:5" x14ac:dyDescent="0.25">
      <c r="B23" s="46"/>
      <c r="C23" s="46"/>
      <c r="D23" s="46"/>
      <c r="E23" s="48">
        <f>IF(B23="","",IF(COUNTIFS($B$9:$B$208,B23,$C$9:$C$208,C23)&gt;1,"⚠ Doublon","✓"))</f>
      </c>
    </row>
    <row r="24" ht="21" customHeight="1" spans="2:5" x14ac:dyDescent="0.25">
      <c r="B24" s="46"/>
      <c r="C24" s="46"/>
      <c r="D24" s="46"/>
      <c r="E24" s="48">
        <f>IF(B24="","",IF(COUNTIFS($B$9:$B$208,B24,$C$9:$C$208,C24)&gt;1,"⚠ Doublon","✓"))</f>
      </c>
    </row>
    <row r="25" ht="21" customHeight="1" spans="2:5" x14ac:dyDescent="0.25">
      <c r="B25" s="46"/>
      <c r="C25" s="46"/>
      <c r="D25" s="46"/>
      <c r="E25" s="48">
        <f>IF(B25="","",IF(COUNTIFS($B$9:$B$208,B25,$C$9:$C$208,C25)&gt;1,"⚠ Doublon","✓"))</f>
      </c>
    </row>
    <row r="26" ht="21" customHeight="1" spans="2:5" x14ac:dyDescent="0.25">
      <c r="B26" s="46"/>
      <c r="C26" s="46"/>
      <c r="D26" s="46"/>
      <c r="E26" s="48">
        <f>IF(B26="","",IF(COUNTIFS($B$9:$B$208,B26,$C$9:$C$208,C26)&gt;1,"⚠ Doublon","✓"))</f>
      </c>
    </row>
    <row r="27" ht="21" customHeight="1" spans="2:5" x14ac:dyDescent="0.25">
      <c r="B27" s="46"/>
      <c r="C27" s="46"/>
      <c r="D27" s="46"/>
      <c r="E27" s="48">
        <f>IF(B27="","",IF(COUNTIFS($B$9:$B$208,B27,$C$9:$C$208,C27)&gt;1,"⚠ Doublon","✓"))</f>
      </c>
    </row>
    <row r="28" ht="21" customHeight="1" spans="2:5" x14ac:dyDescent="0.25">
      <c r="B28" s="46"/>
      <c r="C28" s="46"/>
      <c r="D28" s="46"/>
      <c r="E28" s="48">
        <f>IF(B28="","",IF(COUNTIFS($B$9:$B$208,B28,$C$9:$C$208,C28)&gt;1,"⚠ Doublon","✓"))</f>
      </c>
    </row>
    <row r="29" ht="21" customHeight="1" spans="2:5" x14ac:dyDescent="0.25">
      <c r="B29" s="46"/>
      <c r="C29" s="46"/>
      <c r="D29" s="46"/>
      <c r="E29" s="48">
        <f>IF(B29="","",IF(COUNTIFS($B$9:$B$208,B29,$C$9:$C$208,C29)&gt;1,"⚠ Doublon","✓"))</f>
      </c>
    </row>
    <row r="30" ht="21" customHeight="1" spans="2:5" x14ac:dyDescent="0.25">
      <c r="B30" s="46"/>
      <c r="C30" s="46"/>
      <c r="D30" s="46"/>
      <c r="E30" s="48">
        <f>IF(B30="","",IF(COUNTIFS($B$9:$B$208,B30,$C$9:$C$208,C30)&gt;1,"⚠ Doublon","✓"))</f>
      </c>
    </row>
    <row r="31" ht="21" customHeight="1" spans="2:5" x14ac:dyDescent="0.25">
      <c r="B31" s="46"/>
      <c r="C31" s="46"/>
      <c r="D31" s="46"/>
      <c r="E31" s="48">
        <f>IF(B31="","",IF(COUNTIFS($B$9:$B$208,B31,$C$9:$C$208,C31)&gt;1,"⚠ Doublon","✓"))</f>
      </c>
    </row>
    <row r="32" ht="21" customHeight="1" spans="2:5" x14ac:dyDescent="0.25">
      <c r="B32" s="46"/>
      <c r="C32" s="46"/>
      <c r="D32" s="46"/>
      <c r="E32" s="48">
        <f>IF(B32="","",IF(COUNTIFS($B$9:$B$208,B32,$C$9:$C$208,C32)&gt;1,"⚠ Doublon","✓"))</f>
      </c>
    </row>
    <row r="33" ht="21" customHeight="1" spans="2:5" x14ac:dyDescent="0.25">
      <c r="B33" s="46"/>
      <c r="C33" s="46"/>
      <c r="D33" s="46"/>
      <c r="E33" s="48">
        <f>IF(B33="","",IF(COUNTIFS($B$9:$B$208,B33,$C$9:$C$208,C33)&gt;1,"⚠ Doublon","✓"))</f>
      </c>
    </row>
    <row r="34" ht="21" customHeight="1" spans="2:5" x14ac:dyDescent="0.25">
      <c r="B34" s="46"/>
      <c r="C34" s="46"/>
      <c r="D34" s="46"/>
      <c r="E34" s="48">
        <f>IF(B34="","",IF(COUNTIFS($B$9:$B$208,B34,$C$9:$C$208,C34)&gt;1,"⚠ Doublon","✓"))</f>
      </c>
    </row>
    <row r="35" ht="21" customHeight="1" spans="2:5" x14ac:dyDescent="0.25">
      <c r="B35" s="46"/>
      <c r="C35" s="46"/>
      <c r="D35" s="46"/>
      <c r="E35" s="48">
        <f>IF(B35="","",IF(COUNTIFS($B$9:$B$208,B35,$C$9:$C$208,C35)&gt;1,"⚠ Doublon","✓"))</f>
      </c>
    </row>
    <row r="36" ht="21" customHeight="1" spans="2:5" x14ac:dyDescent="0.25">
      <c r="B36" s="46"/>
      <c r="C36" s="46"/>
      <c r="D36" s="46"/>
      <c r="E36" s="48">
        <f>IF(B36="","",IF(COUNTIFS($B$9:$B$208,B36,$C$9:$C$208,C36)&gt;1,"⚠ Doublon","✓"))</f>
      </c>
    </row>
    <row r="37" ht="21" customHeight="1" spans="2:5" x14ac:dyDescent="0.25">
      <c r="B37" s="46"/>
      <c r="C37" s="46"/>
      <c r="D37" s="46"/>
      <c r="E37" s="48">
        <f>IF(B37="","",IF(COUNTIFS($B$9:$B$208,B37,$C$9:$C$208,C37)&gt;1,"⚠ Doublon","✓"))</f>
      </c>
    </row>
    <row r="38" ht="21" customHeight="1" spans="2:5" x14ac:dyDescent="0.25">
      <c r="B38" s="46"/>
      <c r="C38" s="46"/>
      <c r="D38" s="46"/>
      <c r="E38" s="48">
        <f>IF(B38="","",IF(COUNTIFS($B$9:$B$208,B38,$C$9:$C$208,C38)&gt;1,"⚠ Doublon","✓"))</f>
      </c>
    </row>
    <row r="39" ht="21" customHeight="1" spans="2:5" x14ac:dyDescent="0.25">
      <c r="B39" s="46"/>
      <c r="C39" s="46"/>
      <c r="D39" s="46"/>
      <c r="E39" s="48">
        <f>IF(B39="","",IF(COUNTIFS($B$9:$B$208,B39,$C$9:$C$208,C39)&gt;1,"⚠ Doublon","✓"))</f>
      </c>
    </row>
    <row r="40" ht="21" customHeight="1" spans="2:5" x14ac:dyDescent="0.25">
      <c r="B40" s="46"/>
      <c r="C40" s="46"/>
      <c r="D40" s="46"/>
      <c r="E40" s="48">
        <f>IF(B40="","",IF(COUNTIFS($B$9:$B$208,B40,$C$9:$C$208,C40)&gt;1,"⚠ Doublon","✓"))</f>
      </c>
    </row>
    <row r="41" ht="21" customHeight="1" spans="2:5" x14ac:dyDescent="0.25">
      <c r="B41" s="46"/>
      <c r="C41" s="46"/>
      <c r="D41" s="46"/>
      <c r="E41" s="48">
        <f>IF(B41="","",IF(COUNTIFS($B$9:$B$208,B41,$C$9:$C$208,C41)&gt;1,"⚠ Doublon","✓"))</f>
      </c>
    </row>
    <row r="42" ht="21" customHeight="1" spans="2:5" x14ac:dyDescent="0.25">
      <c r="B42" s="46"/>
      <c r="C42" s="46"/>
      <c r="D42" s="46"/>
      <c r="E42" s="48">
        <f>IF(B42="","",IF(COUNTIFS($B$9:$B$208,B42,$C$9:$C$208,C42)&gt;1,"⚠ Doublon","✓"))</f>
      </c>
    </row>
    <row r="43" ht="21" customHeight="1" spans="2:5" x14ac:dyDescent="0.25">
      <c r="B43" s="46"/>
      <c r="C43" s="46"/>
      <c r="D43" s="46"/>
      <c r="E43" s="48">
        <f>IF(B43="","",IF(COUNTIFS($B$9:$B$208,B43,$C$9:$C$208,C43)&gt;1,"⚠ Doublon","✓"))</f>
      </c>
    </row>
    <row r="44" ht="21" customHeight="1" spans="2:5" x14ac:dyDescent="0.25">
      <c r="B44" s="46"/>
      <c r="C44" s="46"/>
      <c r="D44" s="46"/>
      <c r="E44" s="48">
        <f>IF(B44="","",IF(COUNTIFS($B$9:$B$208,B44,$C$9:$C$208,C44)&gt;1,"⚠ Doublon","✓"))</f>
      </c>
    </row>
    <row r="45" ht="21" customHeight="1" spans="2:5" x14ac:dyDescent="0.25">
      <c r="B45" s="46"/>
      <c r="C45" s="46"/>
      <c r="D45" s="46"/>
      <c r="E45" s="48">
        <f>IF(B45="","",IF(COUNTIFS($B$9:$B$208,B45,$C$9:$C$208,C45)&gt;1,"⚠ Doublon","✓"))</f>
      </c>
    </row>
    <row r="46" ht="21" customHeight="1" spans="2:5" x14ac:dyDescent="0.25">
      <c r="B46" s="46"/>
      <c r="C46" s="46"/>
      <c r="D46" s="46"/>
      <c r="E46" s="48">
        <f>IF(B46="","",IF(COUNTIFS($B$9:$B$208,B46,$C$9:$C$208,C46)&gt;1,"⚠ Doublon","✓"))</f>
      </c>
    </row>
    <row r="47" ht="21" customHeight="1" spans="2:5" x14ac:dyDescent="0.25">
      <c r="B47" s="46"/>
      <c r="C47" s="46"/>
      <c r="D47" s="46"/>
      <c r="E47" s="48">
        <f>IF(B47="","",IF(COUNTIFS($B$9:$B$208,B47,$C$9:$C$208,C47)&gt;1,"⚠ Doublon","✓"))</f>
      </c>
    </row>
    <row r="48" ht="21" customHeight="1" spans="2:5" x14ac:dyDescent="0.25">
      <c r="B48" s="46"/>
      <c r="C48" s="46"/>
      <c r="D48" s="46"/>
      <c r="E48" s="48">
        <f>IF(B48="","",IF(COUNTIFS($B$9:$B$208,B48,$C$9:$C$208,C48)&gt;1,"⚠ Doublon","✓"))</f>
      </c>
    </row>
    <row r="49" ht="21" customHeight="1" spans="2:5" x14ac:dyDescent="0.25">
      <c r="B49" s="46"/>
      <c r="C49" s="46"/>
      <c r="D49" s="46"/>
      <c r="E49" s="48">
        <f>IF(B49="","",IF(COUNTIFS($B$9:$B$208,B49,$C$9:$C$208,C49)&gt;1,"⚠ Doublon","✓"))</f>
      </c>
    </row>
    <row r="50" ht="21" customHeight="1" spans="2:5" x14ac:dyDescent="0.25">
      <c r="B50" s="46"/>
      <c r="C50" s="46"/>
      <c r="D50" s="46"/>
      <c r="E50" s="48">
        <f>IF(B50="","",IF(COUNTIFS($B$9:$B$208,B50,$C$9:$C$208,C50)&gt;1,"⚠ Doublon","✓"))</f>
      </c>
    </row>
    <row r="51" ht="21" customHeight="1" spans="2:5" x14ac:dyDescent="0.25">
      <c r="B51" s="46"/>
      <c r="C51" s="46"/>
      <c r="D51" s="46"/>
      <c r="E51" s="48">
        <f>IF(B51="","",IF(COUNTIFS($B$9:$B$208,B51,$C$9:$C$208,C51)&gt;1,"⚠ Doublon","✓"))</f>
      </c>
    </row>
    <row r="52" ht="21" customHeight="1" spans="2:5" x14ac:dyDescent="0.25">
      <c r="B52" s="46"/>
      <c r="C52" s="46"/>
      <c r="D52" s="46"/>
      <c r="E52" s="48">
        <f>IF(B52="","",IF(COUNTIFS($B$9:$B$208,B52,$C$9:$C$208,C52)&gt;1,"⚠ Doublon","✓"))</f>
      </c>
    </row>
    <row r="53" ht="21" customHeight="1" spans="2:5" x14ac:dyDescent="0.25">
      <c r="B53" s="46"/>
      <c r="C53" s="46"/>
      <c r="D53" s="46"/>
      <c r="E53" s="48">
        <f>IF(B53="","",IF(COUNTIFS($B$9:$B$208,B53,$C$9:$C$208,C53)&gt;1,"⚠ Doublon","✓"))</f>
      </c>
    </row>
    <row r="54" ht="21" customHeight="1" spans="2:5" x14ac:dyDescent="0.25">
      <c r="B54" s="46"/>
      <c r="C54" s="46"/>
      <c r="D54" s="46"/>
      <c r="E54" s="48">
        <f>IF(B54="","",IF(COUNTIFS($B$9:$B$208,B54,$C$9:$C$208,C54)&gt;1,"⚠ Doublon","✓"))</f>
      </c>
    </row>
    <row r="55" ht="21" customHeight="1" spans="2:5" x14ac:dyDescent="0.25">
      <c r="B55" s="46"/>
      <c r="C55" s="46"/>
      <c r="D55" s="46"/>
      <c r="E55" s="48">
        <f>IF(B55="","",IF(COUNTIFS($B$9:$B$208,B55,$C$9:$C$208,C55)&gt;1,"⚠ Doublon","✓"))</f>
      </c>
    </row>
    <row r="56" ht="21" customHeight="1" spans="2:5" x14ac:dyDescent="0.25">
      <c r="B56" s="46"/>
      <c r="C56" s="46"/>
      <c r="D56" s="46"/>
      <c r="E56" s="48">
        <f>IF(B56="","",IF(COUNTIFS($B$9:$B$208,B56,$C$9:$C$208,C56)&gt;1,"⚠ Doublon","✓"))</f>
      </c>
    </row>
    <row r="57" ht="21" customHeight="1" spans="2:5" x14ac:dyDescent="0.25">
      <c r="B57" s="46"/>
      <c r="C57" s="46"/>
      <c r="D57" s="46"/>
      <c r="E57" s="48">
        <f>IF(B57="","",IF(COUNTIFS($B$9:$B$208,B57,$C$9:$C$208,C57)&gt;1,"⚠ Doublon","✓"))</f>
      </c>
    </row>
    <row r="58" ht="21" customHeight="1" spans="2:5" x14ac:dyDescent="0.25">
      <c r="B58" s="46"/>
      <c r="C58" s="46"/>
      <c r="D58" s="46"/>
      <c r="E58" s="48">
        <f>IF(B58="","",IF(COUNTIFS($B$9:$B$208,B58,$C$9:$C$208,C58)&gt;1,"⚠ Doublon","✓"))</f>
      </c>
    </row>
    <row r="59" ht="21" customHeight="1" spans="2:5" x14ac:dyDescent="0.25">
      <c r="B59" s="46"/>
      <c r="C59" s="46"/>
      <c r="D59" s="46"/>
      <c r="E59" s="48">
        <f>IF(B59="","",IF(COUNTIFS($B$9:$B$208,B59,$C$9:$C$208,C59)&gt;1,"⚠ Doublon","✓"))</f>
      </c>
    </row>
    <row r="60" ht="21" customHeight="1" spans="2:5" x14ac:dyDescent="0.25">
      <c r="B60" s="46"/>
      <c r="C60" s="46"/>
      <c r="D60" s="46"/>
      <c r="E60" s="48">
        <f>IF(B60="","",IF(COUNTIFS($B$9:$B$208,B60,$C$9:$C$208,C60)&gt;1,"⚠ Doublon","✓"))</f>
      </c>
    </row>
    <row r="61" ht="21" customHeight="1" spans="2:5" x14ac:dyDescent="0.25">
      <c r="B61" s="46"/>
      <c r="C61" s="46"/>
      <c r="D61" s="46"/>
      <c r="E61" s="48">
        <f>IF(B61="","",IF(COUNTIFS($B$9:$B$208,B61,$C$9:$C$208,C61)&gt;1,"⚠ Doublon","✓"))</f>
      </c>
    </row>
    <row r="62" ht="21" customHeight="1" spans="2:5" x14ac:dyDescent="0.25">
      <c r="B62" s="46"/>
      <c r="C62" s="46"/>
      <c r="D62" s="46"/>
      <c r="E62" s="48">
        <f>IF(B62="","",IF(COUNTIFS($B$9:$B$208,B62,$C$9:$C$208,C62)&gt;1,"⚠ Doublon","✓"))</f>
      </c>
    </row>
    <row r="63" ht="21" customHeight="1" spans="2:5" x14ac:dyDescent="0.25">
      <c r="B63" s="46"/>
      <c r="C63" s="46"/>
      <c r="D63" s="46"/>
      <c r="E63" s="48">
        <f>IF(B63="","",IF(COUNTIFS($B$9:$B$208,B63,$C$9:$C$208,C63)&gt;1,"⚠ Doublon","✓"))</f>
      </c>
    </row>
    <row r="64" ht="21" customHeight="1" spans="2:5" x14ac:dyDescent="0.25">
      <c r="B64" s="46"/>
      <c r="C64" s="46"/>
      <c r="D64" s="46"/>
      <c r="E64" s="48">
        <f>IF(B64="","",IF(COUNTIFS($B$9:$B$208,B64,$C$9:$C$208,C64)&gt;1,"⚠ Doublon","✓"))</f>
      </c>
    </row>
    <row r="65" ht="21" customHeight="1" spans="2:5" x14ac:dyDescent="0.25">
      <c r="B65" s="46"/>
      <c r="C65" s="46"/>
      <c r="D65" s="46"/>
      <c r="E65" s="48">
        <f>IF(B65="","",IF(COUNTIFS($B$9:$B$208,B65,$C$9:$C$208,C65)&gt;1,"⚠ Doublon","✓"))</f>
      </c>
    </row>
    <row r="66" ht="21" customHeight="1" spans="2:5" x14ac:dyDescent="0.25">
      <c r="B66" s="46"/>
      <c r="C66" s="46"/>
      <c r="D66" s="46"/>
      <c r="E66" s="48">
        <f>IF(B66="","",IF(COUNTIFS($B$9:$B$208,B66,$C$9:$C$208,C66)&gt;1,"⚠ Doublon","✓"))</f>
      </c>
    </row>
    <row r="67" ht="21" customHeight="1" spans="2:5" x14ac:dyDescent="0.25">
      <c r="B67" s="46"/>
      <c r="C67" s="46"/>
      <c r="D67" s="46"/>
      <c r="E67" s="48">
        <f>IF(B67="","",IF(COUNTIFS($B$9:$B$208,B67,$C$9:$C$208,C67)&gt;1,"⚠ Doublon","✓"))</f>
      </c>
    </row>
    <row r="68" ht="21" customHeight="1" spans="2:5" x14ac:dyDescent="0.25">
      <c r="B68" s="46"/>
      <c r="C68" s="46"/>
      <c r="D68" s="46"/>
      <c r="E68" s="48">
        <f>IF(B68="","",IF(COUNTIFS($B$9:$B$208,B68,$C$9:$C$208,C68)&gt;1,"⚠ Doublon","✓"))</f>
      </c>
    </row>
    <row r="69" ht="21" customHeight="1" spans="2:5" x14ac:dyDescent="0.25">
      <c r="B69" s="46"/>
      <c r="C69" s="46"/>
      <c r="D69" s="46"/>
      <c r="E69" s="48">
        <f>IF(B69="","",IF(COUNTIFS($B$9:$B$208,B69,$C$9:$C$208,C69)&gt;1,"⚠ Doublon","✓"))</f>
      </c>
    </row>
    <row r="70" ht="21" customHeight="1" spans="2:5" x14ac:dyDescent="0.25">
      <c r="B70" s="46"/>
      <c r="C70" s="46"/>
      <c r="D70" s="46"/>
      <c r="E70" s="48">
        <f>IF(B70="","",IF(COUNTIFS($B$9:$B$208,B70,$C$9:$C$208,C70)&gt;1,"⚠ Doublon","✓"))</f>
      </c>
    </row>
    <row r="71" ht="21" customHeight="1" spans="2:5" x14ac:dyDescent="0.25">
      <c r="B71" s="46"/>
      <c r="C71" s="46"/>
      <c r="D71" s="46"/>
      <c r="E71" s="48">
        <f>IF(B71="","",IF(COUNTIFS($B$9:$B$208,B71,$C$9:$C$208,C71)&gt;1,"⚠ Doublon","✓"))</f>
      </c>
    </row>
    <row r="72" ht="21" customHeight="1" spans="2:5" x14ac:dyDescent="0.25">
      <c r="B72" s="46"/>
      <c r="C72" s="46"/>
      <c r="D72" s="46"/>
      <c r="E72" s="48">
        <f>IF(B72="","",IF(COUNTIFS($B$9:$B$208,B72,$C$9:$C$208,C72)&gt;1,"⚠ Doublon","✓"))</f>
      </c>
    </row>
    <row r="73" ht="21" customHeight="1" spans="2:5" x14ac:dyDescent="0.25">
      <c r="B73" s="46"/>
      <c r="C73" s="46"/>
      <c r="D73" s="46"/>
      <c r="E73" s="48">
        <f>IF(B73="","",IF(COUNTIFS($B$9:$B$208,B73,$C$9:$C$208,C73)&gt;1,"⚠ Doublon","✓"))</f>
      </c>
    </row>
    <row r="74" ht="21" customHeight="1" spans="2:5" x14ac:dyDescent="0.25">
      <c r="B74" s="46"/>
      <c r="C74" s="46"/>
      <c r="D74" s="46"/>
      <c r="E74" s="48">
        <f>IF(B74="","",IF(COUNTIFS($B$9:$B$208,B74,$C$9:$C$208,C74)&gt;1,"⚠ Doublon","✓"))</f>
      </c>
    </row>
    <row r="75" ht="21" customHeight="1" spans="2:5" x14ac:dyDescent="0.25">
      <c r="B75" s="46"/>
      <c r="C75" s="46"/>
      <c r="D75" s="46"/>
      <c r="E75" s="48">
        <f>IF(B75="","",IF(COUNTIFS($B$9:$B$208,B75,$C$9:$C$208,C75)&gt;1,"⚠ Doublon","✓"))</f>
      </c>
    </row>
    <row r="76" ht="21" customHeight="1" spans="2:5" x14ac:dyDescent="0.25">
      <c r="B76" s="46"/>
      <c r="C76" s="46"/>
      <c r="D76" s="46"/>
      <c r="E76" s="48">
        <f>IF(B76="","",IF(COUNTIFS($B$9:$B$208,B76,$C$9:$C$208,C76)&gt;1,"⚠ Doublon","✓"))</f>
      </c>
    </row>
    <row r="77" ht="21" customHeight="1" spans="2:5" x14ac:dyDescent="0.25">
      <c r="B77" s="46"/>
      <c r="C77" s="46"/>
      <c r="D77" s="46"/>
      <c r="E77" s="48">
        <f>IF(B77="","",IF(COUNTIFS($B$9:$B$208,B77,$C$9:$C$208,C77)&gt;1,"⚠ Doublon","✓"))</f>
      </c>
    </row>
    <row r="78" ht="21" customHeight="1" spans="2:5" x14ac:dyDescent="0.25">
      <c r="B78" s="46"/>
      <c r="C78" s="46"/>
      <c r="D78" s="46"/>
      <c r="E78" s="48">
        <f>IF(B78="","",IF(COUNTIFS($B$9:$B$208,B78,$C$9:$C$208,C78)&gt;1,"⚠ Doublon","✓"))</f>
      </c>
    </row>
    <row r="79" ht="21" customHeight="1" spans="2:5" x14ac:dyDescent="0.25">
      <c r="B79" s="46"/>
      <c r="C79" s="46"/>
      <c r="D79" s="46"/>
      <c r="E79" s="48">
        <f>IF(B79="","",IF(COUNTIFS($B$9:$B$208,B79,$C$9:$C$208,C79)&gt;1,"⚠ Doublon","✓"))</f>
      </c>
    </row>
    <row r="80" ht="21" customHeight="1" spans="2:5" x14ac:dyDescent="0.25">
      <c r="B80" s="46"/>
      <c r="C80" s="46"/>
      <c r="D80" s="46"/>
      <c r="E80" s="48">
        <f>IF(B80="","",IF(COUNTIFS($B$9:$B$208,B80,$C$9:$C$208,C80)&gt;1,"⚠ Doublon","✓"))</f>
      </c>
    </row>
    <row r="81" ht="21" customHeight="1" spans="2:5" x14ac:dyDescent="0.25">
      <c r="B81" s="46"/>
      <c r="C81" s="46"/>
      <c r="D81" s="46"/>
      <c r="E81" s="48">
        <f>IF(B81="","",IF(COUNTIFS($B$9:$B$208,B81,$C$9:$C$208,C81)&gt;1,"⚠ Doublon","✓"))</f>
      </c>
    </row>
    <row r="82" ht="21" customHeight="1" spans="2:5" x14ac:dyDescent="0.25">
      <c r="B82" s="46"/>
      <c r="C82" s="46"/>
      <c r="D82" s="46"/>
      <c r="E82" s="48">
        <f>IF(B82="","",IF(COUNTIFS($B$9:$B$208,B82,$C$9:$C$208,C82)&gt;1,"⚠ Doublon","✓"))</f>
      </c>
    </row>
    <row r="83" ht="21" customHeight="1" spans="2:5" x14ac:dyDescent="0.25">
      <c r="B83" s="46"/>
      <c r="C83" s="46"/>
      <c r="D83" s="46"/>
      <c r="E83" s="48">
        <f>IF(B83="","",IF(COUNTIFS($B$9:$B$208,B83,$C$9:$C$208,C83)&gt;1,"⚠ Doublon","✓"))</f>
      </c>
    </row>
    <row r="84" ht="21" customHeight="1" spans="2:5" x14ac:dyDescent="0.25">
      <c r="B84" s="46"/>
      <c r="C84" s="46"/>
      <c r="D84" s="46"/>
      <c r="E84" s="48">
        <f>IF(B84="","",IF(COUNTIFS($B$9:$B$208,B84,$C$9:$C$208,C84)&gt;1,"⚠ Doublon","✓"))</f>
      </c>
    </row>
    <row r="85" ht="21" customHeight="1" spans="2:5" x14ac:dyDescent="0.25">
      <c r="B85" s="46"/>
      <c r="C85" s="46"/>
      <c r="D85" s="46"/>
      <c r="E85" s="48">
        <f>IF(B85="","",IF(COUNTIFS($B$9:$B$208,B85,$C$9:$C$208,C85)&gt;1,"⚠ Doublon","✓"))</f>
      </c>
    </row>
    <row r="86" ht="21" customHeight="1" spans="2:5" x14ac:dyDescent="0.25">
      <c r="B86" s="46"/>
      <c r="C86" s="46"/>
      <c r="D86" s="46"/>
      <c r="E86" s="48">
        <f>IF(B86="","",IF(COUNTIFS($B$9:$B$208,B86,$C$9:$C$208,C86)&gt;1,"⚠ Doublon","✓"))</f>
      </c>
    </row>
    <row r="87" ht="21" customHeight="1" spans="2:5" x14ac:dyDescent="0.25">
      <c r="B87" s="46"/>
      <c r="C87" s="46"/>
      <c r="D87" s="46"/>
      <c r="E87" s="48">
        <f>IF(B87="","",IF(COUNTIFS($B$9:$B$208,B87,$C$9:$C$208,C87)&gt;1,"⚠ Doublon","✓"))</f>
      </c>
    </row>
    <row r="88" ht="21" customHeight="1" spans="2:5" x14ac:dyDescent="0.25">
      <c r="B88" s="46"/>
      <c r="C88" s="46"/>
      <c r="D88" s="46"/>
      <c r="E88" s="48">
        <f>IF(B88="","",IF(COUNTIFS($B$9:$B$208,B88,$C$9:$C$208,C88)&gt;1,"⚠ Doublon","✓"))</f>
      </c>
    </row>
    <row r="89" ht="21" customHeight="1" spans="2:5" x14ac:dyDescent="0.25">
      <c r="B89" s="46"/>
      <c r="C89" s="46"/>
      <c r="D89" s="46"/>
      <c r="E89" s="48">
        <f>IF(B89="","",IF(COUNTIFS($B$9:$B$208,B89,$C$9:$C$208,C89)&gt;1,"⚠ Doublon","✓"))</f>
      </c>
    </row>
    <row r="90" ht="21" customHeight="1" spans="2:5" x14ac:dyDescent="0.25">
      <c r="B90" s="46"/>
      <c r="C90" s="46"/>
      <c r="D90" s="46"/>
      <c r="E90" s="48">
        <f>IF(B90="","",IF(COUNTIFS($B$9:$B$208,B90,$C$9:$C$208,C90)&gt;1,"⚠ Doublon","✓"))</f>
      </c>
    </row>
    <row r="91" ht="21" customHeight="1" spans="2:5" x14ac:dyDescent="0.25">
      <c r="B91" s="46"/>
      <c r="C91" s="46"/>
      <c r="D91" s="46"/>
      <c r="E91" s="48">
        <f>IF(B91="","",IF(COUNTIFS($B$9:$B$208,B91,$C$9:$C$208,C91)&gt;1,"⚠ Doublon","✓"))</f>
      </c>
    </row>
    <row r="92" ht="21" customHeight="1" spans="2:5" x14ac:dyDescent="0.25">
      <c r="B92" s="46"/>
      <c r="C92" s="46"/>
      <c r="D92" s="46"/>
      <c r="E92" s="48">
        <f>IF(B92="","",IF(COUNTIFS($B$9:$B$208,B92,$C$9:$C$208,C92)&gt;1,"⚠ Doublon","✓"))</f>
      </c>
    </row>
    <row r="93" ht="21" customHeight="1" spans="2:5" x14ac:dyDescent="0.25">
      <c r="B93" s="46"/>
      <c r="C93" s="46"/>
      <c r="D93" s="46"/>
      <c r="E93" s="48">
        <f>IF(B93="","",IF(COUNTIFS($B$9:$B$208,B93,$C$9:$C$208,C93)&gt;1,"⚠ Doublon","✓"))</f>
      </c>
    </row>
    <row r="94" ht="21" customHeight="1" spans="2:5" x14ac:dyDescent="0.25">
      <c r="B94" s="46"/>
      <c r="C94" s="46"/>
      <c r="D94" s="46"/>
      <c r="E94" s="48">
        <f>IF(B94="","",IF(COUNTIFS($B$9:$B$208,B94,$C$9:$C$208,C94)&gt;1,"⚠ Doublon","✓"))</f>
      </c>
    </row>
    <row r="95" ht="21" customHeight="1" spans="2:5" x14ac:dyDescent="0.25">
      <c r="B95" s="46"/>
      <c r="C95" s="46"/>
      <c r="D95" s="46"/>
      <c r="E95" s="48">
        <f>IF(B95="","",IF(COUNTIFS($B$9:$B$208,B95,$C$9:$C$208,C95)&gt;1,"⚠ Doublon","✓"))</f>
      </c>
    </row>
    <row r="96" ht="21" customHeight="1" spans="2:5" x14ac:dyDescent="0.25">
      <c r="B96" s="46"/>
      <c r="C96" s="46"/>
      <c r="D96" s="46"/>
      <c r="E96" s="48">
        <f>IF(B96="","",IF(COUNTIFS($B$9:$B$208,B96,$C$9:$C$208,C96)&gt;1,"⚠ Doublon","✓"))</f>
      </c>
    </row>
    <row r="97" ht="21" customHeight="1" spans="2:5" x14ac:dyDescent="0.25">
      <c r="B97" s="46"/>
      <c r="C97" s="46"/>
      <c r="D97" s="46"/>
      <c r="E97" s="48">
        <f>IF(B97="","",IF(COUNTIFS($B$9:$B$208,B97,$C$9:$C$208,C97)&gt;1,"⚠ Doublon","✓"))</f>
      </c>
    </row>
    <row r="98" ht="21" customHeight="1" spans="2:5" x14ac:dyDescent="0.25">
      <c r="B98" s="46"/>
      <c r="C98" s="46"/>
      <c r="D98" s="46"/>
      <c r="E98" s="48">
        <f>IF(B98="","",IF(COUNTIFS($B$9:$B$208,B98,$C$9:$C$208,C98)&gt;1,"⚠ Doublon","✓"))</f>
      </c>
    </row>
    <row r="99" ht="21" customHeight="1" spans="2:5" x14ac:dyDescent="0.25">
      <c r="B99" s="46"/>
      <c r="C99" s="46"/>
      <c r="D99" s="46"/>
      <c r="E99" s="48">
        <f>IF(B99="","",IF(COUNTIFS($B$9:$B$208,B99,$C$9:$C$208,C99)&gt;1,"⚠ Doublon","✓"))</f>
      </c>
    </row>
    <row r="100" ht="21" customHeight="1" spans="2:5" x14ac:dyDescent="0.25">
      <c r="B100" s="46"/>
      <c r="C100" s="46"/>
      <c r="D100" s="46"/>
      <c r="E100" s="48">
        <f>IF(B100="","",IF(COUNTIFS($B$9:$B$208,B100,$C$9:$C$208,C100)&gt;1,"⚠ Doublon","✓"))</f>
      </c>
    </row>
    <row r="101" ht="21" customHeight="1" spans="2:5" x14ac:dyDescent="0.25">
      <c r="B101" s="46"/>
      <c r="C101" s="46"/>
      <c r="D101" s="46"/>
      <c r="E101" s="48">
        <f>IF(B101="","",IF(COUNTIFS($B$9:$B$208,B101,$C$9:$C$208,C101)&gt;1,"⚠ Doublon","✓"))</f>
      </c>
    </row>
    <row r="102" ht="21" customHeight="1" spans="2:5" x14ac:dyDescent="0.25">
      <c r="B102" s="46"/>
      <c r="C102" s="46"/>
      <c r="D102" s="46"/>
      <c r="E102" s="48">
        <f>IF(B102="","",IF(COUNTIFS($B$9:$B$208,B102,$C$9:$C$208,C102)&gt;1,"⚠ Doublon","✓"))</f>
      </c>
    </row>
    <row r="103" ht="21" customHeight="1" spans="2:5" x14ac:dyDescent="0.25">
      <c r="B103" s="46"/>
      <c r="C103" s="46"/>
      <c r="D103" s="46"/>
      <c r="E103" s="48">
        <f>IF(B103="","",IF(COUNTIFS($B$9:$B$208,B103,$C$9:$C$208,C103)&gt;1,"⚠ Doublon","✓"))</f>
      </c>
    </row>
    <row r="104" ht="21" customHeight="1" spans="2:5" x14ac:dyDescent="0.25">
      <c r="B104" s="46"/>
      <c r="C104" s="46"/>
      <c r="D104" s="46"/>
      <c r="E104" s="48">
        <f>IF(B104="","",IF(COUNTIFS($B$9:$B$208,B104,$C$9:$C$208,C104)&gt;1,"⚠ Doublon","✓"))</f>
      </c>
    </row>
    <row r="105" ht="21" customHeight="1" spans="2:5" x14ac:dyDescent="0.25">
      <c r="B105" s="46"/>
      <c r="C105" s="46"/>
      <c r="D105" s="46"/>
      <c r="E105" s="48">
        <f>IF(B105="","",IF(COUNTIFS($B$9:$B$208,B105,$C$9:$C$208,C105)&gt;1,"⚠ Doublon","✓"))</f>
      </c>
    </row>
    <row r="106" ht="21" customHeight="1" spans="2:5" x14ac:dyDescent="0.25">
      <c r="B106" s="46"/>
      <c r="C106" s="46"/>
      <c r="D106" s="46"/>
      <c r="E106" s="48">
        <f>IF(B106="","",IF(COUNTIFS($B$9:$B$208,B106,$C$9:$C$208,C106)&gt;1,"⚠ Doublon","✓"))</f>
      </c>
    </row>
    <row r="107" ht="21" customHeight="1" spans="2:5" x14ac:dyDescent="0.25">
      <c r="B107" s="46"/>
      <c r="C107" s="46"/>
      <c r="D107" s="46"/>
      <c r="E107" s="48">
        <f>IF(B107="","",IF(COUNTIFS($B$9:$B$208,B107,$C$9:$C$208,C107)&gt;1,"⚠ Doublon","✓"))</f>
      </c>
    </row>
    <row r="108" ht="21" customHeight="1" spans="2:5" x14ac:dyDescent="0.25">
      <c r="B108" s="46"/>
      <c r="C108" s="46"/>
      <c r="D108" s="46"/>
      <c r="E108" s="48">
        <f>IF(B108="","",IF(COUNTIFS($B$9:$B$208,B108,$C$9:$C$208,C108)&gt;1,"⚠ Doublon","✓"))</f>
      </c>
    </row>
    <row r="109" ht="21" customHeight="1" spans="2:5" x14ac:dyDescent="0.25">
      <c r="B109" s="46"/>
      <c r="C109" s="46"/>
      <c r="D109" s="46"/>
      <c r="E109" s="48">
        <f>IF(B109="","",IF(COUNTIFS($B$9:$B$208,B109,$C$9:$C$208,C109)&gt;1,"⚠ Doublon","✓"))</f>
      </c>
    </row>
    <row r="110" ht="21" customHeight="1" spans="2:5" x14ac:dyDescent="0.25">
      <c r="B110" s="46"/>
      <c r="C110" s="46"/>
      <c r="D110" s="46"/>
      <c r="E110" s="48">
        <f>IF(B110="","",IF(COUNTIFS($B$9:$B$208,B110,$C$9:$C$208,C110)&gt;1,"⚠ Doublon","✓"))</f>
      </c>
    </row>
    <row r="111" ht="21" customHeight="1" spans="2:5" x14ac:dyDescent="0.25">
      <c r="B111" s="46"/>
      <c r="C111" s="46"/>
      <c r="D111" s="46"/>
      <c r="E111" s="48">
        <f>IF(B111="","",IF(COUNTIFS($B$9:$B$208,B111,$C$9:$C$208,C111)&gt;1,"⚠ Doublon","✓"))</f>
      </c>
    </row>
    <row r="112" ht="21" customHeight="1" spans="2:5" x14ac:dyDescent="0.25">
      <c r="B112" s="46"/>
      <c r="C112" s="46"/>
      <c r="D112" s="46"/>
      <c r="E112" s="48">
        <f>IF(B112="","",IF(COUNTIFS($B$9:$B$208,B112,$C$9:$C$208,C112)&gt;1,"⚠ Doublon","✓"))</f>
      </c>
    </row>
    <row r="113" ht="21" customHeight="1" spans="2:5" x14ac:dyDescent="0.25">
      <c r="B113" s="46"/>
      <c r="C113" s="46"/>
      <c r="D113" s="46"/>
      <c r="E113" s="48">
        <f>IF(B113="","",IF(COUNTIFS($B$9:$B$208,B113,$C$9:$C$208,C113)&gt;1,"⚠ Doublon","✓"))</f>
      </c>
    </row>
    <row r="114" ht="21" customHeight="1" spans="2:5" x14ac:dyDescent="0.25">
      <c r="B114" s="46"/>
      <c r="C114" s="46"/>
      <c r="D114" s="46"/>
      <c r="E114" s="48">
        <f>IF(B114="","",IF(COUNTIFS($B$9:$B$208,B114,$C$9:$C$208,C114)&gt;1,"⚠ Doublon","✓"))</f>
      </c>
    </row>
    <row r="115" ht="21" customHeight="1" spans="2:5" x14ac:dyDescent="0.25">
      <c r="B115" s="46"/>
      <c r="C115" s="46"/>
      <c r="D115" s="46"/>
      <c r="E115" s="48">
        <f>IF(B115="","",IF(COUNTIFS($B$9:$B$208,B115,$C$9:$C$208,C115)&gt;1,"⚠ Doublon","✓"))</f>
      </c>
    </row>
    <row r="116" ht="21" customHeight="1" spans="2:5" x14ac:dyDescent="0.25">
      <c r="B116" s="46"/>
      <c r="C116" s="46"/>
      <c r="D116" s="46"/>
      <c r="E116" s="48">
        <f>IF(B116="","",IF(COUNTIFS($B$9:$B$208,B116,$C$9:$C$208,C116)&gt;1,"⚠ Doublon","✓"))</f>
      </c>
    </row>
    <row r="117" ht="21" customHeight="1" spans="2:5" x14ac:dyDescent="0.25">
      <c r="B117" s="46"/>
      <c r="C117" s="46"/>
      <c r="D117" s="46"/>
      <c r="E117" s="48">
        <f>IF(B117="","",IF(COUNTIFS($B$9:$B$208,B117,$C$9:$C$208,C117)&gt;1,"⚠ Doublon","✓"))</f>
      </c>
    </row>
    <row r="118" ht="21" customHeight="1" spans="2:5" x14ac:dyDescent="0.25">
      <c r="B118" s="46"/>
      <c r="C118" s="46"/>
      <c r="D118" s="46"/>
      <c r="E118" s="48">
        <f>IF(B118="","",IF(COUNTIFS($B$9:$B$208,B118,$C$9:$C$208,C118)&gt;1,"⚠ Doublon","✓"))</f>
      </c>
    </row>
    <row r="119" ht="21" customHeight="1" spans="2:5" x14ac:dyDescent="0.25">
      <c r="B119" s="46"/>
      <c r="C119" s="46"/>
      <c r="D119" s="46"/>
      <c r="E119" s="48">
        <f>IF(B119="","",IF(COUNTIFS($B$9:$B$208,B119,$C$9:$C$208,C119)&gt;1,"⚠ Doublon","✓"))</f>
      </c>
    </row>
    <row r="120" ht="21" customHeight="1" spans="2:5" x14ac:dyDescent="0.25">
      <c r="B120" s="46"/>
      <c r="C120" s="46"/>
      <c r="D120" s="46"/>
      <c r="E120" s="48">
        <f>IF(B120="","",IF(COUNTIFS($B$9:$B$208,B120,$C$9:$C$208,C120)&gt;1,"⚠ Doublon","✓"))</f>
      </c>
    </row>
    <row r="121" ht="21" customHeight="1" spans="2:5" x14ac:dyDescent="0.25">
      <c r="B121" s="46"/>
      <c r="C121" s="46"/>
      <c r="D121" s="46"/>
      <c r="E121" s="48">
        <f>IF(B121="","",IF(COUNTIFS($B$9:$B$208,B121,$C$9:$C$208,C121)&gt;1,"⚠ Doublon","✓"))</f>
      </c>
    </row>
    <row r="122" ht="21" customHeight="1" spans="2:5" x14ac:dyDescent="0.25">
      <c r="B122" s="46"/>
      <c r="C122" s="46"/>
      <c r="D122" s="46"/>
      <c r="E122" s="48">
        <f>IF(B122="","",IF(COUNTIFS($B$9:$B$208,B122,$C$9:$C$208,C122)&gt;1,"⚠ Doublon","✓"))</f>
      </c>
    </row>
    <row r="123" ht="21" customHeight="1" spans="2:5" x14ac:dyDescent="0.25">
      <c r="B123" s="46"/>
      <c r="C123" s="46"/>
      <c r="D123" s="46"/>
      <c r="E123" s="48">
        <f>IF(B123="","",IF(COUNTIFS($B$9:$B$208,B123,$C$9:$C$208,C123)&gt;1,"⚠ Doublon","✓"))</f>
      </c>
    </row>
    <row r="124" ht="21" customHeight="1" spans="2:5" x14ac:dyDescent="0.25">
      <c r="B124" s="46"/>
      <c r="C124" s="46"/>
      <c r="D124" s="46"/>
      <c r="E124" s="48">
        <f>IF(B124="","",IF(COUNTIFS($B$9:$B$208,B124,$C$9:$C$208,C124)&gt;1,"⚠ Doublon","✓"))</f>
      </c>
    </row>
    <row r="125" ht="21" customHeight="1" spans="2:5" x14ac:dyDescent="0.25">
      <c r="B125" s="46"/>
      <c r="C125" s="46"/>
      <c r="D125" s="46"/>
      <c r="E125" s="48">
        <f>IF(B125="","",IF(COUNTIFS($B$9:$B$208,B125,$C$9:$C$208,C125)&gt;1,"⚠ Doublon","✓"))</f>
      </c>
    </row>
    <row r="126" ht="21" customHeight="1" spans="2:5" x14ac:dyDescent="0.25">
      <c r="B126" s="46"/>
      <c r="C126" s="46"/>
      <c r="D126" s="46"/>
      <c r="E126" s="48">
        <f>IF(B126="","",IF(COUNTIFS($B$9:$B$208,B126,$C$9:$C$208,C126)&gt;1,"⚠ Doublon","✓"))</f>
      </c>
    </row>
    <row r="127" ht="21" customHeight="1" spans="2:5" x14ac:dyDescent="0.25">
      <c r="B127" s="46"/>
      <c r="C127" s="46"/>
      <c r="D127" s="46"/>
      <c r="E127" s="48">
        <f>IF(B127="","",IF(COUNTIFS($B$9:$B$208,B127,$C$9:$C$208,C127)&gt;1,"⚠ Doublon","✓"))</f>
      </c>
    </row>
    <row r="128" ht="21" customHeight="1" spans="2:5" x14ac:dyDescent="0.25">
      <c r="B128" s="46"/>
      <c r="C128" s="46"/>
      <c r="D128" s="46"/>
      <c r="E128" s="48">
        <f>IF(B128="","",IF(COUNTIFS($B$9:$B$208,B128,$C$9:$C$208,C128)&gt;1,"⚠ Doublon","✓"))</f>
      </c>
    </row>
    <row r="129" ht="21" customHeight="1" spans="2:5" x14ac:dyDescent="0.25">
      <c r="B129" s="46"/>
      <c r="C129" s="46"/>
      <c r="D129" s="46"/>
      <c r="E129" s="48">
        <f>IF(B129="","",IF(COUNTIFS($B$9:$B$208,B129,$C$9:$C$208,C129)&gt;1,"⚠ Doublon","✓"))</f>
      </c>
    </row>
    <row r="130" ht="21" customHeight="1" spans="2:5" x14ac:dyDescent="0.25">
      <c r="B130" s="46"/>
      <c r="C130" s="46"/>
      <c r="D130" s="46"/>
      <c r="E130" s="48">
        <f>IF(B130="","",IF(COUNTIFS($B$9:$B$208,B130,$C$9:$C$208,C130)&gt;1,"⚠ Doublon","✓"))</f>
      </c>
    </row>
    <row r="131" ht="21" customHeight="1" spans="2:5" x14ac:dyDescent="0.25">
      <c r="B131" s="46"/>
      <c r="C131" s="46"/>
      <c r="D131" s="46"/>
      <c r="E131" s="48">
        <f>IF(B131="","",IF(COUNTIFS($B$9:$B$208,B131,$C$9:$C$208,C131)&gt;1,"⚠ Doublon","✓"))</f>
      </c>
    </row>
    <row r="132" ht="21" customHeight="1" spans="2:5" x14ac:dyDescent="0.25">
      <c r="B132" s="46"/>
      <c r="C132" s="46"/>
      <c r="D132" s="46"/>
      <c r="E132" s="48">
        <f>IF(B132="","",IF(COUNTIFS($B$9:$B$208,B132,$C$9:$C$208,C132)&gt;1,"⚠ Doublon","✓"))</f>
      </c>
    </row>
    <row r="133" ht="21" customHeight="1" spans="2:5" x14ac:dyDescent="0.25">
      <c r="B133" s="46"/>
      <c r="C133" s="46"/>
      <c r="D133" s="46"/>
      <c r="E133" s="48">
        <f>IF(B133="","",IF(COUNTIFS($B$9:$B$208,B133,$C$9:$C$208,C133)&gt;1,"⚠ Doublon","✓"))</f>
      </c>
    </row>
    <row r="134" ht="21" customHeight="1" spans="2:5" x14ac:dyDescent="0.25">
      <c r="B134" s="46"/>
      <c r="C134" s="46"/>
      <c r="D134" s="46"/>
      <c r="E134" s="48">
        <f>IF(B134="","",IF(COUNTIFS($B$9:$B$208,B134,$C$9:$C$208,C134)&gt;1,"⚠ Doublon","✓"))</f>
      </c>
    </row>
    <row r="135" ht="21" customHeight="1" spans="2:5" x14ac:dyDescent="0.25">
      <c r="B135" s="46"/>
      <c r="C135" s="46"/>
      <c r="D135" s="46"/>
      <c r="E135" s="48">
        <f>IF(B135="","",IF(COUNTIFS($B$9:$B$208,B135,$C$9:$C$208,C135)&gt;1,"⚠ Doublon","✓"))</f>
      </c>
    </row>
    <row r="136" ht="21" customHeight="1" spans="2:5" x14ac:dyDescent="0.25">
      <c r="B136" s="46"/>
      <c r="C136" s="46"/>
      <c r="D136" s="46"/>
      <c r="E136" s="48">
        <f>IF(B136="","",IF(COUNTIFS($B$9:$B$208,B136,$C$9:$C$208,C136)&gt;1,"⚠ Doublon","✓"))</f>
      </c>
    </row>
    <row r="137" ht="21" customHeight="1" spans="2:5" x14ac:dyDescent="0.25">
      <c r="B137" s="46"/>
      <c r="C137" s="46"/>
      <c r="D137" s="46"/>
      <c r="E137" s="48">
        <f>IF(B137="","",IF(COUNTIFS($B$9:$B$208,B137,$C$9:$C$208,C137)&gt;1,"⚠ Doublon","✓"))</f>
      </c>
    </row>
    <row r="138" ht="21" customHeight="1" spans="2:5" x14ac:dyDescent="0.25">
      <c r="B138" s="46"/>
      <c r="C138" s="46"/>
      <c r="D138" s="46"/>
      <c r="E138" s="48">
        <f>IF(B138="","",IF(COUNTIFS($B$9:$B$208,B138,$C$9:$C$208,C138)&gt;1,"⚠ Doublon","✓"))</f>
      </c>
    </row>
    <row r="139" ht="21" customHeight="1" spans="2:5" x14ac:dyDescent="0.25">
      <c r="B139" s="46"/>
      <c r="C139" s="46"/>
      <c r="D139" s="46"/>
      <c r="E139" s="48">
        <f>IF(B139="","",IF(COUNTIFS($B$9:$B$208,B139,$C$9:$C$208,C139)&gt;1,"⚠ Doublon","✓"))</f>
      </c>
    </row>
    <row r="140" ht="21" customHeight="1" spans="2:5" x14ac:dyDescent="0.25">
      <c r="B140" s="46"/>
      <c r="C140" s="46"/>
      <c r="D140" s="46"/>
      <c r="E140" s="48">
        <f>IF(B140="","",IF(COUNTIFS($B$9:$B$208,B140,$C$9:$C$208,C140)&gt;1,"⚠ Doublon","✓"))</f>
      </c>
    </row>
    <row r="141" ht="21" customHeight="1" spans="2:5" x14ac:dyDescent="0.25">
      <c r="B141" s="46"/>
      <c r="C141" s="46"/>
      <c r="D141" s="46"/>
      <c r="E141" s="48">
        <f>IF(B141="","",IF(COUNTIFS($B$9:$B$208,B141,$C$9:$C$208,C141)&gt;1,"⚠ Doublon","✓"))</f>
      </c>
    </row>
    <row r="142" ht="21" customHeight="1" spans="2:5" x14ac:dyDescent="0.25">
      <c r="B142" s="46"/>
      <c r="C142" s="46"/>
      <c r="D142" s="46"/>
      <c r="E142" s="48">
        <f>IF(B142="","",IF(COUNTIFS($B$9:$B$208,B142,$C$9:$C$208,C142)&gt;1,"⚠ Doublon","✓"))</f>
      </c>
    </row>
    <row r="143" ht="21" customHeight="1" spans="2:5" x14ac:dyDescent="0.25">
      <c r="B143" s="46"/>
      <c r="C143" s="46"/>
      <c r="D143" s="46"/>
      <c r="E143" s="48">
        <f>IF(B143="","",IF(COUNTIFS($B$9:$B$208,B143,$C$9:$C$208,C143)&gt;1,"⚠ Doublon","✓"))</f>
      </c>
    </row>
    <row r="144" ht="21" customHeight="1" spans="2:5" x14ac:dyDescent="0.25">
      <c r="B144" s="46"/>
      <c r="C144" s="46"/>
      <c r="D144" s="46"/>
      <c r="E144" s="48">
        <f>IF(B144="","",IF(COUNTIFS($B$9:$B$208,B144,$C$9:$C$208,C144)&gt;1,"⚠ Doublon","✓"))</f>
      </c>
    </row>
    <row r="145" ht="21" customHeight="1" spans="2:5" x14ac:dyDescent="0.25">
      <c r="B145" s="46"/>
      <c r="C145" s="46"/>
      <c r="D145" s="46"/>
      <c r="E145" s="48">
        <f>IF(B145="","",IF(COUNTIFS($B$9:$B$208,B145,$C$9:$C$208,C145)&gt;1,"⚠ Doublon","✓"))</f>
      </c>
    </row>
    <row r="146" ht="21" customHeight="1" spans="2:5" x14ac:dyDescent="0.25">
      <c r="B146" s="46"/>
      <c r="C146" s="46"/>
      <c r="D146" s="46"/>
      <c r="E146" s="48">
        <f>IF(B146="","",IF(COUNTIFS($B$9:$B$208,B146,$C$9:$C$208,C146)&gt;1,"⚠ Doublon","✓"))</f>
      </c>
    </row>
    <row r="147" ht="21" customHeight="1" spans="2:5" x14ac:dyDescent="0.25">
      <c r="B147" s="46"/>
      <c r="C147" s="46"/>
      <c r="D147" s="46"/>
      <c r="E147" s="48">
        <f>IF(B147="","",IF(COUNTIFS($B$9:$B$208,B147,$C$9:$C$208,C147)&gt;1,"⚠ Doublon","✓"))</f>
      </c>
    </row>
    <row r="148" ht="21" customHeight="1" spans="2:5" x14ac:dyDescent="0.25">
      <c r="B148" s="46"/>
      <c r="C148" s="46"/>
      <c r="D148" s="46"/>
      <c r="E148" s="48">
        <f>IF(B148="","",IF(COUNTIFS($B$9:$B$208,B148,$C$9:$C$208,C148)&gt;1,"⚠ Doublon","✓"))</f>
      </c>
    </row>
    <row r="149" ht="21" customHeight="1" spans="2:5" x14ac:dyDescent="0.25">
      <c r="B149" s="46"/>
      <c r="C149" s="46"/>
      <c r="D149" s="46"/>
      <c r="E149" s="48">
        <f>IF(B149="","",IF(COUNTIFS($B$9:$B$208,B149,$C$9:$C$208,C149)&gt;1,"⚠ Doublon","✓"))</f>
      </c>
    </row>
    <row r="150" ht="21" customHeight="1" spans="2:5" x14ac:dyDescent="0.25">
      <c r="B150" s="46"/>
      <c r="C150" s="46"/>
      <c r="D150" s="46"/>
      <c r="E150" s="48">
        <f>IF(B150="","",IF(COUNTIFS($B$9:$B$208,B150,$C$9:$C$208,C150)&gt;1,"⚠ Doublon","✓"))</f>
      </c>
    </row>
    <row r="151" ht="21" customHeight="1" spans="2:5" x14ac:dyDescent="0.25">
      <c r="B151" s="46"/>
      <c r="C151" s="46"/>
      <c r="D151" s="46"/>
      <c r="E151" s="48">
        <f>IF(B151="","",IF(COUNTIFS($B$9:$B$208,B151,$C$9:$C$208,C151)&gt;1,"⚠ Doublon","✓"))</f>
      </c>
    </row>
    <row r="152" ht="21" customHeight="1" spans="2:5" x14ac:dyDescent="0.25">
      <c r="B152" s="46"/>
      <c r="C152" s="46"/>
      <c r="D152" s="46"/>
      <c r="E152" s="48">
        <f>IF(B152="","",IF(COUNTIFS($B$9:$B$208,B152,$C$9:$C$208,C152)&gt;1,"⚠ Doublon","✓"))</f>
      </c>
    </row>
    <row r="153" ht="21" customHeight="1" spans="2:5" x14ac:dyDescent="0.25">
      <c r="B153" s="46"/>
      <c r="C153" s="46"/>
      <c r="D153" s="46"/>
      <c r="E153" s="48">
        <f>IF(B153="","",IF(COUNTIFS($B$9:$B$208,B153,$C$9:$C$208,C153)&gt;1,"⚠ Doublon","✓"))</f>
      </c>
    </row>
    <row r="154" ht="21" customHeight="1" spans="2:5" x14ac:dyDescent="0.25">
      <c r="B154" s="46"/>
      <c r="C154" s="46"/>
      <c r="D154" s="46"/>
      <c r="E154" s="48">
        <f>IF(B154="","",IF(COUNTIFS($B$9:$B$208,B154,$C$9:$C$208,C154)&gt;1,"⚠ Doublon","✓"))</f>
      </c>
    </row>
    <row r="155" ht="21" customHeight="1" spans="2:5" x14ac:dyDescent="0.25">
      <c r="B155" s="46"/>
      <c r="C155" s="46"/>
      <c r="D155" s="46"/>
      <c r="E155" s="48">
        <f>IF(B155="","",IF(COUNTIFS($B$9:$B$208,B155,$C$9:$C$208,C155)&gt;1,"⚠ Doublon","✓"))</f>
      </c>
    </row>
    <row r="156" ht="21" customHeight="1" spans="2:5" x14ac:dyDescent="0.25">
      <c r="B156" s="46"/>
      <c r="C156" s="46"/>
      <c r="D156" s="46"/>
      <c r="E156" s="48">
        <f>IF(B156="","",IF(COUNTIFS($B$9:$B$208,B156,$C$9:$C$208,C156)&gt;1,"⚠ Doublon","✓"))</f>
      </c>
    </row>
    <row r="157" ht="21" customHeight="1" spans="2:5" x14ac:dyDescent="0.25">
      <c r="B157" s="46"/>
      <c r="C157" s="46"/>
      <c r="D157" s="46"/>
      <c r="E157" s="48">
        <f>IF(B157="","",IF(COUNTIFS($B$9:$B$208,B157,$C$9:$C$208,C157)&gt;1,"⚠ Doublon","✓"))</f>
      </c>
    </row>
    <row r="158" ht="21" customHeight="1" spans="2:5" x14ac:dyDescent="0.25">
      <c r="B158" s="46"/>
      <c r="C158" s="46"/>
      <c r="D158" s="46"/>
      <c r="E158" s="48">
        <f>IF(B158="","",IF(COUNTIFS($B$9:$B$208,B158,$C$9:$C$208,C158)&gt;1,"⚠ Doublon","✓"))</f>
      </c>
    </row>
    <row r="159" ht="21" customHeight="1" spans="2:5" x14ac:dyDescent="0.25">
      <c r="B159" s="46"/>
      <c r="C159" s="46"/>
      <c r="D159" s="46"/>
      <c r="E159" s="48">
        <f>IF(B159="","",IF(COUNTIFS($B$9:$B$208,B159,$C$9:$C$208,C159)&gt;1,"⚠ Doublon","✓"))</f>
      </c>
    </row>
    <row r="160" ht="21" customHeight="1" spans="2:5" x14ac:dyDescent="0.25">
      <c r="B160" s="46"/>
      <c r="C160" s="46"/>
      <c r="D160" s="46"/>
      <c r="E160" s="48">
        <f>IF(B160="","",IF(COUNTIFS($B$9:$B$208,B160,$C$9:$C$208,C160)&gt;1,"⚠ Doublon","✓"))</f>
      </c>
    </row>
    <row r="161" ht="21" customHeight="1" spans="2:5" x14ac:dyDescent="0.25">
      <c r="B161" s="46"/>
      <c r="C161" s="46"/>
      <c r="D161" s="46"/>
      <c r="E161" s="48">
        <f>IF(B161="","",IF(COUNTIFS($B$9:$B$208,B161,$C$9:$C$208,C161)&gt;1,"⚠ Doublon","✓"))</f>
      </c>
    </row>
    <row r="162" ht="21" customHeight="1" spans="2:5" x14ac:dyDescent="0.25">
      <c r="B162" s="46"/>
      <c r="C162" s="46"/>
      <c r="D162" s="46"/>
      <c r="E162" s="48">
        <f>IF(B162="","",IF(COUNTIFS($B$9:$B$208,B162,$C$9:$C$208,C162)&gt;1,"⚠ Doublon","✓"))</f>
      </c>
    </row>
    <row r="163" ht="21" customHeight="1" spans="2:5" x14ac:dyDescent="0.25">
      <c r="B163" s="46"/>
      <c r="C163" s="46"/>
      <c r="D163" s="46"/>
      <c r="E163" s="48">
        <f>IF(B163="","",IF(COUNTIFS($B$9:$B$208,B163,$C$9:$C$208,C163)&gt;1,"⚠ Doublon","✓"))</f>
      </c>
    </row>
    <row r="164" ht="21" customHeight="1" spans="2:5" x14ac:dyDescent="0.25">
      <c r="B164" s="46"/>
      <c r="C164" s="46"/>
      <c r="D164" s="46"/>
      <c r="E164" s="48">
        <f>IF(B164="","",IF(COUNTIFS($B$9:$B$208,B164,$C$9:$C$208,C164)&gt;1,"⚠ Doublon","✓"))</f>
      </c>
    </row>
    <row r="165" ht="21" customHeight="1" spans="2:5" x14ac:dyDescent="0.25">
      <c r="B165" s="46"/>
      <c r="C165" s="46"/>
      <c r="D165" s="46"/>
      <c r="E165" s="48">
        <f>IF(B165="","",IF(COUNTIFS($B$9:$B$208,B165,$C$9:$C$208,C165)&gt;1,"⚠ Doublon","✓"))</f>
      </c>
    </row>
    <row r="166" ht="21" customHeight="1" spans="2:5" x14ac:dyDescent="0.25">
      <c r="B166" s="46"/>
      <c r="C166" s="46"/>
      <c r="D166" s="46"/>
      <c r="E166" s="48">
        <f>IF(B166="","",IF(COUNTIFS($B$9:$B$208,B166,$C$9:$C$208,C166)&gt;1,"⚠ Doublon","✓"))</f>
      </c>
    </row>
    <row r="167" ht="21" customHeight="1" spans="2:5" x14ac:dyDescent="0.25">
      <c r="B167" s="46"/>
      <c r="C167" s="46"/>
      <c r="D167" s="46"/>
      <c r="E167" s="48">
        <f>IF(B167="","",IF(COUNTIFS($B$9:$B$208,B167,$C$9:$C$208,C167)&gt;1,"⚠ Doublon","✓"))</f>
      </c>
    </row>
    <row r="168" ht="21" customHeight="1" spans="2:5" x14ac:dyDescent="0.25">
      <c r="B168" s="46"/>
      <c r="C168" s="46"/>
      <c r="D168" s="46"/>
      <c r="E168" s="48">
        <f>IF(B168="","",IF(COUNTIFS($B$9:$B$208,B168,$C$9:$C$208,C168)&gt;1,"⚠ Doublon","✓"))</f>
      </c>
    </row>
    <row r="169" ht="21" customHeight="1" spans="2:5" x14ac:dyDescent="0.25">
      <c r="B169" s="46"/>
      <c r="C169" s="46"/>
      <c r="D169" s="46"/>
      <c r="E169" s="48">
        <f>IF(B169="","",IF(COUNTIFS($B$9:$B$208,B169,$C$9:$C$208,C169)&gt;1,"⚠ Doublon","✓"))</f>
      </c>
    </row>
    <row r="170" ht="21" customHeight="1" spans="2:5" x14ac:dyDescent="0.25">
      <c r="B170" s="46"/>
      <c r="C170" s="46"/>
      <c r="D170" s="46"/>
      <c r="E170" s="48">
        <f>IF(B170="","",IF(COUNTIFS($B$9:$B$208,B170,$C$9:$C$208,C170)&gt;1,"⚠ Doublon","✓"))</f>
      </c>
    </row>
    <row r="171" ht="21" customHeight="1" spans="2:5" x14ac:dyDescent="0.25">
      <c r="B171" s="46"/>
      <c r="C171" s="46"/>
      <c r="D171" s="46"/>
      <c r="E171" s="48">
        <f>IF(B171="","",IF(COUNTIFS($B$9:$B$208,B171,$C$9:$C$208,C171)&gt;1,"⚠ Doublon","✓"))</f>
      </c>
    </row>
    <row r="172" ht="21" customHeight="1" spans="2:5" x14ac:dyDescent="0.25">
      <c r="B172" s="46"/>
      <c r="C172" s="46"/>
      <c r="D172" s="46"/>
      <c r="E172" s="48">
        <f>IF(B172="","",IF(COUNTIFS($B$9:$B$208,B172,$C$9:$C$208,C172)&gt;1,"⚠ Doublon","✓"))</f>
      </c>
    </row>
    <row r="173" ht="21" customHeight="1" spans="2:5" x14ac:dyDescent="0.25">
      <c r="B173" s="46"/>
      <c r="C173" s="46"/>
      <c r="D173" s="46"/>
      <c r="E173" s="48">
        <f>IF(B173="","",IF(COUNTIFS($B$9:$B$208,B173,$C$9:$C$208,C173)&gt;1,"⚠ Doublon","✓"))</f>
      </c>
    </row>
    <row r="174" ht="21" customHeight="1" spans="2:5" x14ac:dyDescent="0.25">
      <c r="B174" s="46"/>
      <c r="C174" s="46"/>
      <c r="D174" s="46"/>
      <c r="E174" s="48">
        <f>IF(B174="","",IF(COUNTIFS($B$9:$B$208,B174,$C$9:$C$208,C174)&gt;1,"⚠ Doublon","✓"))</f>
      </c>
    </row>
    <row r="175" ht="21" customHeight="1" spans="2:5" x14ac:dyDescent="0.25">
      <c r="B175" s="46"/>
      <c r="C175" s="46"/>
      <c r="D175" s="46"/>
      <c r="E175" s="48">
        <f>IF(B175="","",IF(COUNTIFS($B$9:$B$208,B175,$C$9:$C$208,C175)&gt;1,"⚠ Doublon","✓"))</f>
      </c>
    </row>
    <row r="176" ht="21" customHeight="1" spans="2:5" x14ac:dyDescent="0.25">
      <c r="B176" s="46"/>
      <c r="C176" s="46"/>
      <c r="D176" s="46"/>
      <c r="E176" s="48">
        <f>IF(B176="","",IF(COUNTIFS($B$9:$B$208,B176,$C$9:$C$208,C176)&gt;1,"⚠ Doublon","✓"))</f>
      </c>
    </row>
    <row r="177" ht="21" customHeight="1" spans="2:5" x14ac:dyDescent="0.25">
      <c r="B177" s="46"/>
      <c r="C177" s="46"/>
      <c r="D177" s="46"/>
      <c r="E177" s="48">
        <f>IF(B177="","",IF(COUNTIFS($B$9:$B$208,B177,$C$9:$C$208,C177)&gt;1,"⚠ Doublon","✓"))</f>
      </c>
    </row>
    <row r="178" ht="21" customHeight="1" spans="2:5" x14ac:dyDescent="0.25">
      <c r="B178" s="46"/>
      <c r="C178" s="46"/>
      <c r="D178" s="46"/>
      <c r="E178" s="48">
        <f>IF(B178="","",IF(COUNTIFS($B$9:$B$208,B178,$C$9:$C$208,C178)&gt;1,"⚠ Doublon","✓"))</f>
      </c>
    </row>
    <row r="179" ht="21" customHeight="1" spans="2:5" x14ac:dyDescent="0.25">
      <c r="B179" s="46"/>
      <c r="C179" s="46"/>
      <c r="D179" s="46"/>
      <c r="E179" s="48">
        <f>IF(B179="","",IF(COUNTIFS($B$9:$B$208,B179,$C$9:$C$208,C179)&gt;1,"⚠ Doublon","✓"))</f>
      </c>
    </row>
    <row r="180" ht="21" customHeight="1" spans="2:5" x14ac:dyDescent="0.25">
      <c r="B180" s="46"/>
      <c r="C180" s="46"/>
      <c r="D180" s="46"/>
      <c r="E180" s="48">
        <f>IF(B180="","",IF(COUNTIFS($B$9:$B$208,B180,$C$9:$C$208,C180)&gt;1,"⚠ Doublon","✓"))</f>
      </c>
    </row>
    <row r="181" ht="21" customHeight="1" spans="2:5" x14ac:dyDescent="0.25">
      <c r="B181" s="46"/>
      <c r="C181" s="46"/>
      <c r="D181" s="46"/>
      <c r="E181" s="48">
        <f>IF(B181="","",IF(COUNTIFS($B$9:$B$208,B181,$C$9:$C$208,C181)&gt;1,"⚠ Doublon","✓"))</f>
      </c>
    </row>
    <row r="182" ht="21" customHeight="1" spans="2:5" x14ac:dyDescent="0.25">
      <c r="B182" s="46"/>
      <c r="C182" s="46"/>
      <c r="D182" s="46"/>
      <c r="E182" s="48">
        <f>IF(B182="","",IF(COUNTIFS($B$9:$B$208,B182,$C$9:$C$208,C182)&gt;1,"⚠ Doublon","✓"))</f>
      </c>
    </row>
    <row r="183" ht="21" customHeight="1" spans="2:5" x14ac:dyDescent="0.25">
      <c r="B183" s="46"/>
      <c r="C183" s="46"/>
      <c r="D183" s="46"/>
      <c r="E183" s="48">
        <f>IF(B183="","",IF(COUNTIFS($B$9:$B$208,B183,$C$9:$C$208,C183)&gt;1,"⚠ Doublon","✓"))</f>
      </c>
    </row>
    <row r="184" ht="21" customHeight="1" spans="2:5" x14ac:dyDescent="0.25">
      <c r="B184" s="46"/>
      <c r="C184" s="46"/>
      <c r="D184" s="46"/>
      <c r="E184" s="48">
        <f>IF(B184="","",IF(COUNTIFS($B$9:$B$208,B184,$C$9:$C$208,C184)&gt;1,"⚠ Doublon","✓"))</f>
      </c>
    </row>
    <row r="185" ht="21" customHeight="1" spans="2:5" x14ac:dyDescent="0.25">
      <c r="B185" s="46"/>
      <c r="C185" s="46"/>
      <c r="D185" s="46"/>
      <c r="E185" s="48">
        <f>IF(B185="","",IF(COUNTIFS($B$9:$B$208,B185,$C$9:$C$208,C185)&gt;1,"⚠ Doublon","✓"))</f>
      </c>
    </row>
    <row r="186" ht="21" customHeight="1" spans="2:5" x14ac:dyDescent="0.25">
      <c r="B186" s="46"/>
      <c r="C186" s="46"/>
      <c r="D186" s="46"/>
      <c r="E186" s="48">
        <f>IF(B186="","",IF(COUNTIFS($B$9:$B$208,B186,$C$9:$C$208,C186)&gt;1,"⚠ Doublon","✓"))</f>
      </c>
    </row>
    <row r="187" ht="21" customHeight="1" spans="2:5" x14ac:dyDescent="0.25">
      <c r="B187" s="46"/>
      <c r="C187" s="46"/>
      <c r="D187" s="46"/>
      <c r="E187" s="48">
        <f>IF(B187="","",IF(COUNTIFS($B$9:$B$208,B187,$C$9:$C$208,C187)&gt;1,"⚠ Doublon","✓"))</f>
      </c>
    </row>
    <row r="188" ht="21" customHeight="1" spans="2:5" x14ac:dyDescent="0.25">
      <c r="B188" s="46"/>
      <c r="C188" s="46"/>
      <c r="D188" s="46"/>
      <c r="E188" s="48">
        <f>IF(B188="","",IF(COUNTIFS($B$9:$B$208,B188,$C$9:$C$208,C188)&gt;1,"⚠ Doublon","✓"))</f>
      </c>
    </row>
    <row r="189" ht="21" customHeight="1" spans="2:5" x14ac:dyDescent="0.25">
      <c r="B189" s="46"/>
      <c r="C189" s="46"/>
      <c r="D189" s="46"/>
      <c r="E189" s="48">
        <f>IF(B189="","",IF(COUNTIFS($B$9:$B$208,B189,$C$9:$C$208,C189)&gt;1,"⚠ Doublon","✓"))</f>
      </c>
    </row>
    <row r="190" ht="21" customHeight="1" spans="2:5" x14ac:dyDescent="0.25">
      <c r="B190" s="46"/>
      <c r="C190" s="46"/>
      <c r="D190" s="46"/>
      <c r="E190" s="48">
        <f>IF(B190="","",IF(COUNTIFS($B$9:$B$208,B190,$C$9:$C$208,C190)&gt;1,"⚠ Doublon","✓"))</f>
      </c>
    </row>
    <row r="191" ht="21" customHeight="1" spans="2:5" x14ac:dyDescent="0.25">
      <c r="B191" s="46"/>
      <c r="C191" s="46"/>
      <c r="D191" s="46"/>
      <c r="E191" s="48">
        <f>IF(B191="","",IF(COUNTIFS($B$9:$B$208,B191,$C$9:$C$208,C191)&gt;1,"⚠ Doublon","✓"))</f>
      </c>
    </row>
    <row r="192" ht="21" customHeight="1" spans="2:5" x14ac:dyDescent="0.25">
      <c r="B192" s="46"/>
      <c r="C192" s="46"/>
      <c r="D192" s="46"/>
      <c r="E192" s="48">
        <f>IF(B192="","",IF(COUNTIFS($B$9:$B$208,B192,$C$9:$C$208,C192)&gt;1,"⚠ Doublon","✓"))</f>
      </c>
    </row>
    <row r="193" ht="21" customHeight="1" spans="2:5" x14ac:dyDescent="0.25">
      <c r="B193" s="46"/>
      <c r="C193" s="46"/>
      <c r="D193" s="46"/>
      <c r="E193" s="48">
        <f>IF(B193="","",IF(COUNTIFS($B$9:$B$208,B193,$C$9:$C$208,C193)&gt;1,"⚠ Doublon","✓"))</f>
      </c>
    </row>
    <row r="194" ht="21" customHeight="1" spans="2:5" x14ac:dyDescent="0.25">
      <c r="B194" s="46"/>
      <c r="C194" s="46"/>
      <c r="D194" s="46"/>
      <c r="E194" s="48">
        <f>IF(B194="","",IF(COUNTIFS($B$9:$B$208,B194,$C$9:$C$208,C194)&gt;1,"⚠ Doublon","✓"))</f>
      </c>
    </row>
    <row r="195" ht="21" customHeight="1" spans="2:5" x14ac:dyDescent="0.25">
      <c r="B195" s="46"/>
      <c r="C195" s="46"/>
      <c r="D195" s="46"/>
      <c r="E195" s="48">
        <f>IF(B195="","",IF(COUNTIFS($B$9:$B$208,B195,$C$9:$C$208,C195)&gt;1,"⚠ Doublon","✓"))</f>
      </c>
    </row>
    <row r="196" ht="21" customHeight="1" spans="2:5" x14ac:dyDescent="0.25">
      <c r="B196" s="46"/>
      <c r="C196" s="46"/>
      <c r="D196" s="46"/>
      <c r="E196" s="48">
        <f>IF(B196="","",IF(COUNTIFS($B$9:$B$208,B196,$C$9:$C$208,C196)&gt;1,"⚠ Doublon","✓"))</f>
      </c>
    </row>
    <row r="197" ht="21" customHeight="1" spans="2:5" x14ac:dyDescent="0.25">
      <c r="B197" s="46"/>
      <c r="C197" s="46"/>
      <c r="D197" s="46"/>
      <c r="E197" s="48">
        <f>IF(B197="","",IF(COUNTIFS($B$9:$B$208,B197,$C$9:$C$208,C197)&gt;1,"⚠ Doublon","✓"))</f>
      </c>
    </row>
    <row r="198" ht="21" customHeight="1" spans="2:5" x14ac:dyDescent="0.25">
      <c r="B198" s="46"/>
      <c r="C198" s="46"/>
      <c r="D198" s="46"/>
      <c r="E198" s="48">
        <f>IF(B198="","",IF(COUNTIFS($B$9:$B$208,B198,$C$9:$C$208,C198)&gt;1,"⚠ Doublon","✓"))</f>
      </c>
    </row>
    <row r="199" ht="21" customHeight="1" spans="2:5" x14ac:dyDescent="0.25">
      <c r="B199" s="46"/>
      <c r="C199" s="46"/>
      <c r="D199" s="46"/>
      <c r="E199" s="48">
        <f>IF(B199="","",IF(COUNTIFS($B$9:$B$208,B199,$C$9:$C$208,C199)&gt;1,"⚠ Doublon","✓"))</f>
      </c>
    </row>
    <row r="200" ht="21" customHeight="1" spans="2:5" x14ac:dyDescent="0.25">
      <c r="B200" s="46"/>
      <c r="C200" s="46"/>
      <c r="D200" s="46"/>
      <c r="E200" s="48">
        <f>IF(B200="","",IF(COUNTIFS($B$9:$B$208,B200,$C$9:$C$208,C200)&gt;1,"⚠ Doublon","✓"))</f>
      </c>
    </row>
    <row r="201" ht="21" customHeight="1" spans="2:5" x14ac:dyDescent="0.25">
      <c r="B201" s="46"/>
      <c r="C201" s="46"/>
      <c r="D201" s="46"/>
      <c r="E201" s="48">
        <f>IF(B201="","",IF(COUNTIFS($B$9:$B$208,B201,$C$9:$C$208,C201)&gt;1,"⚠ Doublon","✓"))</f>
      </c>
    </row>
    <row r="202" ht="21" customHeight="1" spans="2:5" x14ac:dyDescent="0.25">
      <c r="B202" s="46"/>
      <c r="C202" s="46"/>
      <c r="D202" s="46"/>
      <c r="E202" s="48">
        <f>IF(B202="","",IF(COUNTIFS($B$9:$B$208,B202,$C$9:$C$208,C202)&gt;1,"⚠ Doublon","✓"))</f>
      </c>
    </row>
    <row r="203" ht="21" customHeight="1" spans="2:5" x14ac:dyDescent="0.25">
      <c r="B203" s="46"/>
      <c r="C203" s="46"/>
      <c r="D203" s="46"/>
      <c r="E203" s="48">
        <f>IF(B203="","",IF(COUNTIFS($B$9:$B$208,B203,$C$9:$C$208,C203)&gt;1,"⚠ Doublon","✓"))</f>
      </c>
    </row>
    <row r="204" ht="21" customHeight="1" spans="2:5" x14ac:dyDescent="0.25">
      <c r="B204" s="46"/>
      <c r="C204" s="46"/>
      <c r="D204" s="46"/>
      <c r="E204" s="48">
        <f>IF(B204="","",IF(COUNTIFS($B$9:$B$208,B204,$C$9:$C$208,C204)&gt;1,"⚠ Doublon","✓"))</f>
      </c>
    </row>
    <row r="205" ht="21" customHeight="1" spans="2:5" x14ac:dyDescent="0.25">
      <c r="B205" s="46"/>
      <c r="C205" s="46"/>
      <c r="D205" s="46"/>
      <c r="E205" s="48">
        <f>IF(B205="","",IF(COUNTIFS($B$9:$B$208,B205,$C$9:$C$208,C205)&gt;1,"⚠ Doublon","✓"))</f>
      </c>
    </row>
    <row r="206" ht="21" customHeight="1" spans="2:5" x14ac:dyDescent="0.25">
      <c r="B206" s="46"/>
      <c r="C206" s="46"/>
      <c r="D206" s="46"/>
      <c r="E206" s="48">
        <f>IF(B206="","",IF(COUNTIFS($B$9:$B$208,B206,$C$9:$C$208,C206)&gt;1,"⚠ Doublon","✓"))</f>
      </c>
    </row>
    <row r="207" ht="21" customHeight="1" spans="2:5" x14ac:dyDescent="0.25">
      <c r="B207" s="46"/>
      <c r="C207" s="46"/>
      <c r="D207" s="46"/>
      <c r="E207" s="48">
        <f>IF(B207="","",IF(COUNTIFS($B$9:$B$208,B207,$C$9:$C$208,C207)&gt;1,"⚠ Doublon","✓"))</f>
      </c>
    </row>
    <row r="208" ht="21" customHeight="1" spans="2:5" x14ac:dyDescent="0.25">
      <c r="B208" s="46"/>
      <c r="C208" s="46"/>
      <c r="D208" s="46"/>
      <c r="E208" s="48">
        <f>IF(B208="","",IF(COUNTIFS($B$9:$B$208,B208,$C$9:$C$208,C208)&gt;1,"⚠ Doublon","✓"))</f>
      </c>
    </row>
  </sheetData>
  <sheetProtection sheet="1" formatColumns="0" formatRows="0" sort="0" autoFilter="0"/>
  <autoFilter ref="B8:E8"/>
  <conditionalFormatting sqref="B9:B208">
    <cfRule type="expression" dxfId="61" priority="1">
      <formula>AND(OR($B9&lt;&gt;"",$C9&lt;&gt;"",$D9&lt;&gt;""),B9="")</formula>
    </cfRule>
  </conditionalFormatting>
  <conditionalFormatting sqref="C9:C208">
    <cfRule type="expression" dxfId="62" priority="1">
      <formula>AND(OR($B9&lt;&gt;"",$C9&lt;&gt;"",$D9&lt;&gt;""),C9="")</formula>
    </cfRule>
  </conditionalFormatting>
  <conditionalFormatting sqref="E9:E208">
    <cfRule type="containsText" dxfId="63" priority="2">
      <formula>NOT(ISERROR(SEARCH("⚠",E9)))</formula>
    </cfRule>
    <cfRule type="containsText" dxfId="64" priority="3">
      <formula>NOT(ISERROR(SEARCH("◔",E9)))</formula>
    </cfRule>
  </conditionalFormatting>
  <dataValidations count="6">
    <dataValidation type="list" allowBlank="1" showErrorMessage="1" errorStyle="stop" errorTitle="Valeur hors liste" error="Choisissez une valeur dans la liste. Elle se remplit à partir de l’onglet correspondant." sqref="B10:B208">
      <formula1>L_Instances</formula1>
    </dataValidation>
    <dataValidation type="list" allowBlank="1" showErrorMessage="1" errorStyle="stop" errorTitle="Valeur hors liste" error="Choisissez une valeur dans la liste. Elle se remplit à partir de l’onglet correspondant." sqref="B9:B208">
      <formula1>L_Instances</formula1>
    </dataValidation>
    <dataValidation type="list" allowBlank="1" showErrorMessage="1" errorStyle="stop" errorTitle="Valeur hors liste" error="Choisissez une valeur dans la liste. Elle se remplit à partir de l’onglet correspondant." sqref="C10:C20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C9:C20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D10:D208">
      <formula1>L_RoleInstance</formula1>
    </dataValidation>
    <dataValidation type="list" allowBlank="1" showErrorMessage="1" errorStyle="stop" errorTitle="Valeur hors liste" error="Choisissez une valeur dans la liste. Elle se remplit à partir de l’onglet correspondant." sqref="D9:D208">
      <formula1>L_RoleInstance</formula1>
    </dataValidation>
  </dataValidations>
  <hyperlinks>
    <hyperlink ref="E3" r:id="rId1" location="#'Complétude'!A1"/>
  </hyperlinks>
  <pageMargins left="0.4" right="0.4" top="0.5" bottom="0.5" header="0.2" footer="0.2"/>
  <pageSetup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9A2D"/>
    <pageSetUpPr fitToPage="1"/>
  </sheetPr>
  <dimension ref="B1:K10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8" customWidth="1"/>
    <col min="3" max="3" width="36" customWidth="1"/>
    <col min="4" max="4" width="16" customWidth="1"/>
    <col min="5" max="5" width="28" customWidth="1"/>
    <col min="6" max="6" width="22" customWidth="1"/>
    <col min="7" max="7" width="10" customWidth="1"/>
    <col min="8" max="8" width="22" customWidth="1"/>
    <col min="9" max="9" width="13" customWidth="1"/>
    <col min="10" max="10" width="16" customWidth="1"/>
    <col min="11" max="11" width="30" customWidth="1"/>
  </cols>
  <sheetData>
    <row r="1" ht="12" customHeight="1" x14ac:dyDescent="0.25"/>
    <row r="2" ht="34" customHeight="1" spans="2:11" x14ac:dyDescent="0.25">
      <c r="B2" s="1" t="s">
        <v>63</v>
      </c>
      <c r="K2" s="38">
        <f>'Complétude'!$I32</f>
      </c>
    </row>
    <row r="3" ht="18" customHeight="1" spans="2:11" x14ac:dyDescent="0.25">
      <c r="B3" s="2" t="s">
        <v>237</v>
      </c>
      <c r="K3" s="39" t="s">
        <v>156</v>
      </c>
    </row>
    <row r="4" ht="18" customHeight="1" spans="2:2" x14ac:dyDescent="0.25">
      <c r="B4" t="s">
        <v>238</v>
      </c>
    </row>
    <row r="5" ht="16" customHeight="1" spans="2:2" x14ac:dyDescent="0.25">
      <c r="B5" s="40" t="s">
        <v>239</v>
      </c>
    </row>
    <row r="6" ht="10" customHeight="1" x14ac:dyDescent="0.25"/>
    <row r="7" ht="15" customHeight="1" spans="2:11" x14ac:dyDescent="0.25">
      <c r="B7" s="43" t="s">
        <v>161</v>
      </c>
      <c r="C7" s="41" t="s">
        <v>159</v>
      </c>
      <c r="D7" s="41" t="s">
        <v>173</v>
      </c>
      <c r="E7" s="42" t="s">
        <v>174</v>
      </c>
      <c r="F7" s="42" t="s">
        <v>174</v>
      </c>
      <c r="G7" s="42" t="s">
        <v>174</v>
      </c>
      <c r="H7" s="42" t="s">
        <v>174</v>
      </c>
      <c r="I7" s="41" t="s">
        <v>159</v>
      </c>
      <c r="J7" s="42" t="s">
        <v>160</v>
      </c>
      <c r="K7" s="43" t="s">
        <v>162</v>
      </c>
    </row>
    <row r="8" ht="26" customHeight="1" spans="2:11" x14ac:dyDescent="0.25">
      <c r="B8" s="45" t="s">
        <v>222</v>
      </c>
      <c r="C8" s="44" t="s">
        <v>168</v>
      </c>
      <c r="D8" s="44" t="s">
        <v>104</v>
      </c>
      <c r="E8" s="44" t="s">
        <v>108</v>
      </c>
      <c r="F8" s="44" t="s">
        <v>112</v>
      </c>
      <c r="G8" s="44" t="s">
        <v>100</v>
      </c>
      <c r="H8" s="44" t="s">
        <v>212</v>
      </c>
      <c r="I8" s="44" t="s">
        <v>133</v>
      </c>
      <c r="J8" s="44" t="s">
        <v>136</v>
      </c>
      <c r="K8" s="45" t="s">
        <v>150</v>
      </c>
    </row>
    <row r="9" ht="21" customHeight="1" spans="2:11" x14ac:dyDescent="0.25">
      <c r="B9" s="47">
        <f>IF(C9="","","J"&amp;TEXT(ROW()-8,"00"))</f>
      </c>
      <c r="C9" s="46"/>
      <c r="D9" s="46"/>
      <c r="E9" s="46"/>
      <c r="F9" s="46"/>
      <c r="G9" s="46"/>
      <c r="H9" s="46"/>
      <c r="I9" s="49"/>
      <c r="J9" s="49"/>
      <c r="K9" s="48">
        <f>IF(C9="","",IF(D9="","⚠ Phase manquante",IF(AND(E9&lt;&gt;"",LEFT(E9,LEN(LEFT(D9,FIND(" ·",D9&amp;" ·")-1))+1)&lt;&gt;LEFT(D9,FIND(" ·",D9&amp;" ·")-1)&amp;"."),"⚠ Sous-phase hors phase",IF(AND(I9&lt;&gt;"",IFERROR(OR(I9&lt;INDEX('07 Phases'!$F$9:$F$38,MATCH(D9,'07 Phases'!$B$9:$B$38,0)),I9&gt;INDEX('07 Phases'!$G$9:$G$38,MATCH(D9,'07 Phases'!$B$9:$B$38,0))),FALSE)),"◔ Date hors période de la phase","✓"))))</f>
      </c>
    </row>
    <row r="10" ht="21" customHeight="1" spans="2:11" x14ac:dyDescent="0.25">
      <c r="B10" s="47">
        <f>IF(C10="","","J"&amp;TEXT(ROW()-8,"00"))</f>
      </c>
      <c r="C10" s="46"/>
      <c r="D10" s="46"/>
      <c r="E10" s="46"/>
      <c r="F10" s="46"/>
      <c r="G10" s="46"/>
      <c r="H10" s="46"/>
      <c r="I10" s="49"/>
      <c r="J10" s="49"/>
      <c r="K10" s="48">
        <f>IF(C10="","",IF(D10="","⚠ Phase manquante",IF(AND(E10&lt;&gt;"",LEFT(E10,LEN(LEFT(D10,FIND(" ·",D10&amp;" ·")-1))+1)&lt;&gt;LEFT(D10,FIND(" ·",D10&amp;" ·")-1)&amp;"."),"⚠ Sous-phase hors phase",IF(AND(I10&lt;&gt;"",IFERROR(OR(I10&lt;INDEX('07 Phases'!$F$9:$F$38,MATCH(D10,'07 Phases'!$B$9:$B$38,0)),I10&gt;INDEX('07 Phases'!$G$9:$G$38,MATCH(D10,'07 Phases'!$B$9:$B$38,0))),FALSE)),"◔ Date hors période de la phase","✓"))))</f>
      </c>
    </row>
    <row r="11" ht="21" customHeight="1" spans="2:11" x14ac:dyDescent="0.25">
      <c r="B11" s="47">
        <f>IF(C11="","","J"&amp;TEXT(ROW()-8,"00"))</f>
      </c>
      <c r="C11" s="46"/>
      <c r="D11" s="46"/>
      <c r="E11" s="46"/>
      <c r="F11" s="46"/>
      <c r="G11" s="46"/>
      <c r="H11" s="46"/>
      <c r="I11" s="49"/>
      <c r="J11" s="49"/>
      <c r="K11" s="48">
        <f>IF(C11="","",IF(D11="","⚠ Phase manquante",IF(AND(E11&lt;&gt;"",LEFT(E11,LEN(LEFT(D11,FIND(" ·",D11&amp;" ·")-1))+1)&lt;&gt;LEFT(D11,FIND(" ·",D11&amp;" ·")-1)&amp;"."),"⚠ Sous-phase hors phase",IF(AND(I11&lt;&gt;"",IFERROR(OR(I11&lt;INDEX('07 Phases'!$F$9:$F$38,MATCH(D11,'07 Phases'!$B$9:$B$38,0)),I11&gt;INDEX('07 Phases'!$G$9:$G$38,MATCH(D11,'07 Phases'!$B$9:$B$38,0))),FALSE)),"◔ Date hors période de la phase","✓"))))</f>
      </c>
    </row>
    <row r="12" ht="21" customHeight="1" spans="2:11" x14ac:dyDescent="0.25">
      <c r="B12" s="47">
        <f>IF(C12="","","J"&amp;TEXT(ROW()-8,"00"))</f>
      </c>
      <c r="C12" s="46"/>
      <c r="D12" s="46"/>
      <c r="E12" s="46"/>
      <c r="F12" s="46"/>
      <c r="G12" s="46"/>
      <c r="H12" s="46"/>
      <c r="I12" s="49"/>
      <c r="J12" s="49"/>
      <c r="K12" s="48">
        <f>IF(C12="","",IF(D12="","⚠ Phase manquante",IF(AND(E12&lt;&gt;"",LEFT(E12,LEN(LEFT(D12,FIND(" ·",D12&amp;" ·")-1))+1)&lt;&gt;LEFT(D12,FIND(" ·",D12&amp;" ·")-1)&amp;"."),"⚠ Sous-phase hors phase",IF(AND(I12&lt;&gt;"",IFERROR(OR(I12&lt;INDEX('07 Phases'!$F$9:$F$38,MATCH(D12,'07 Phases'!$B$9:$B$38,0)),I12&gt;INDEX('07 Phases'!$G$9:$G$38,MATCH(D12,'07 Phases'!$B$9:$B$38,0))),FALSE)),"◔ Date hors période de la phase","✓"))))</f>
      </c>
    </row>
    <row r="13" ht="21" customHeight="1" spans="2:11" x14ac:dyDescent="0.25">
      <c r="B13" s="47">
        <f>IF(C13="","","J"&amp;TEXT(ROW()-8,"00"))</f>
      </c>
      <c r="C13" s="46"/>
      <c r="D13" s="46"/>
      <c r="E13" s="46"/>
      <c r="F13" s="46"/>
      <c r="G13" s="46"/>
      <c r="H13" s="46"/>
      <c r="I13" s="49"/>
      <c r="J13" s="49"/>
      <c r="K13" s="48">
        <f>IF(C13="","",IF(D13="","⚠ Phase manquante",IF(AND(E13&lt;&gt;"",LEFT(E13,LEN(LEFT(D13,FIND(" ·",D13&amp;" ·")-1))+1)&lt;&gt;LEFT(D13,FIND(" ·",D13&amp;" ·")-1)&amp;"."),"⚠ Sous-phase hors phase",IF(AND(I13&lt;&gt;"",IFERROR(OR(I13&lt;INDEX('07 Phases'!$F$9:$F$38,MATCH(D13,'07 Phases'!$B$9:$B$38,0)),I13&gt;INDEX('07 Phases'!$G$9:$G$38,MATCH(D13,'07 Phases'!$B$9:$B$38,0))),FALSE)),"◔ Date hors période de la phase","✓"))))</f>
      </c>
    </row>
    <row r="14" ht="21" customHeight="1" spans="2:11" x14ac:dyDescent="0.25">
      <c r="B14" s="47">
        <f>IF(C14="","","J"&amp;TEXT(ROW()-8,"00"))</f>
      </c>
      <c r="C14" s="46"/>
      <c r="D14" s="46"/>
      <c r="E14" s="46"/>
      <c r="F14" s="46"/>
      <c r="G14" s="46"/>
      <c r="H14" s="46"/>
      <c r="I14" s="49"/>
      <c r="J14" s="49"/>
      <c r="K14" s="48">
        <f>IF(C14="","",IF(D14="","⚠ Phase manquante",IF(AND(E14&lt;&gt;"",LEFT(E14,LEN(LEFT(D14,FIND(" ·",D14&amp;" ·")-1))+1)&lt;&gt;LEFT(D14,FIND(" ·",D14&amp;" ·")-1)&amp;"."),"⚠ Sous-phase hors phase",IF(AND(I14&lt;&gt;"",IFERROR(OR(I14&lt;INDEX('07 Phases'!$F$9:$F$38,MATCH(D14,'07 Phases'!$B$9:$B$38,0)),I14&gt;INDEX('07 Phases'!$G$9:$G$38,MATCH(D14,'07 Phases'!$B$9:$B$38,0))),FALSE)),"◔ Date hors période de la phase","✓"))))</f>
      </c>
    </row>
    <row r="15" ht="21" customHeight="1" spans="2:11" x14ac:dyDescent="0.25">
      <c r="B15" s="47">
        <f>IF(C15="","","J"&amp;TEXT(ROW()-8,"00"))</f>
      </c>
      <c r="C15" s="46"/>
      <c r="D15" s="46"/>
      <c r="E15" s="46"/>
      <c r="F15" s="46"/>
      <c r="G15" s="46"/>
      <c r="H15" s="46"/>
      <c r="I15" s="49"/>
      <c r="J15" s="49"/>
      <c r="K15" s="48">
        <f>IF(C15="","",IF(D15="","⚠ Phase manquante",IF(AND(E15&lt;&gt;"",LEFT(E15,LEN(LEFT(D15,FIND(" ·",D15&amp;" ·")-1))+1)&lt;&gt;LEFT(D15,FIND(" ·",D15&amp;" ·")-1)&amp;"."),"⚠ Sous-phase hors phase",IF(AND(I15&lt;&gt;"",IFERROR(OR(I15&lt;INDEX('07 Phases'!$F$9:$F$38,MATCH(D15,'07 Phases'!$B$9:$B$38,0)),I15&gt;INDEX('07 Phases'!$G$9:$G$38,MATCH(D15,'07 Phases'!$B$9:$B$38,0))),FALSE)),"◔ Date hors période de la phase","✓"))))</f>
      </c>
    </row>
    <row r="16" ht="21" customHeight="1" spans="2:11" x14ac:dyDescent="0.25">
      <c r="B16" s="47">
        <f>IF(C16="","","J"&amp;TEXT(ROW()-8,"00"))</f>
      </c>
      <c r="C16" s="46"/>
      <c r="D16" s="46"/>
      <c r="E16" s="46"/>
      <c r="F16" s="46"/>
      <c r="G16" s="46"/>
      <c r="H16" s="46"/>
      <c r="I16" s="49"/>
      <c r="J16" s="49"/>
      <c r="K16" s="48">
        <f>IF(C16="","",IF(D16="","⚠ Phase manquante",IF(AND(E16&lt;&gt;"",LEFT(E16,LEN(LEFT(D16,FIND(" ·",D16&amp;" ·")-1))+1)&lt;&gt;LEFT(D16,FIND(" ·",D16&amp;" ·")-1)&amp;"."),"⚠ Sous-phase hors phase",IF(AND(I16&lt;&gt;"",IFERROR(OR(I16&lt;INDEX('07 Phases'!$F$9:$F$38,MATCH(D16,'07 Phases'!$B$9:$B$38,0)),I16&gt;INDEX('07 Phases'!$G$9:$G$38,MATCH(D16,'07 Phases'!$B$9:$B$38,0))),FALSE)),"◔ Date hors période de la phase","✓"))))</f>
      </c>
    </row>
    <row r="17" ht="21" customHeight="1" spans="2:11" x14ac:dyDescent="0.25">
      <c r="B17" s="47">
        <f>IF(C17="","","J"&amp;TEXT(ROW()-8,"00"))</f>
      </c>
      <c r="C17" s="46"/>
      <c r="D17" s="46"/>
      <c r="E17" s="46"/>
      <c r="F17" s="46"/>
      <c r="G17" s="46"/>
      <c r="H17" s="46"/>
      <c r="I17" s="49"/>
      <c r="J17" s="49"/>
      <c r="K17" s="48">
        <f>IF(C17="","",IF(D17="","⚠ Phase manquante",IF(AND(E17&lt;&gt;"",LEFT(E17,LEN(LEFT(D17,FIND(" ·",D17&amp;" ·")-1))+1)&lt;&gt;LEFT(D17,FIND(" ·",D17&amp;" ·")-1)&amp;"."),"⚠ Sous-phase hors phase",IF(AND(I17&lt;&gt;"",IFERROR(OR(I17&lt;INDEX('07 Phases'!$F$9:$F$38,MATCH(D17,'07 Phases'!$B$9:$B$38,0)),I17&gt;INDEX('07 Phases'!$G$9:$G$38,MATCH(D17,'07 Phases'!$B$9:$B$38,0))),FALSE)),"◔ Date hors période de la phase","✓"))))</f>
      </c>
    </row>
    <row r="18" ht="21" customHeight="1" spans="2:11" x14ac:dyDescent="0.25">
      <c r="B18" s="47">
        <f>IF(C18="","","J"&amp;TEXT(ROW()-8,"00"))</f>
      </c>
      <c r="C18" s="46"/>
      <c r="D18" s="46"/>
      <c r="E18" s="46"/>
      <c r="F18" s="46"/>
      <c r="G18" s="46"/>
      <c r="H18" s="46"/>
      <c r="I18" s="49"/>
      <c r="J18" s="49"/>
      <c r="K18" s="48">
        <f>IF(C18="","",IF(D18="","⚠ Phase manquante",IF(AND(E18&lt;&gt;"",LEFT(E18,LEN(LEFT(D18,FIND(" ·",D18&amp;" ·")-1))+1)&lt;&gt;LEFT(D18,FIND(" ·",D18&amp;" ·")-1)&amp;"."),"⚠ Sous-phase hors phase",IF(AND(I18&lt;&gt;"",IFERROR(OR(I18&lt;INDEX('07 Phases'!$F$9:$F$38,MATCH(D18,'07 Phases'!$B$9:$B$38,0)),I18&gt;INDEX('07 Phases'!$G$9:$G$38,MATCH(D18,'07 Phases'!$B$9:$B$38,0))),FALSE)),"◔ Date hors période de la phase","✓"))))</f>
      </c>
    </row>
    <row r="19" ht="21" customHeight="1" spans="2:11" x14ac:dyDescent="0.25">
      <c r="B19" s="47">
        <f>IF(C19="","","J"&amp;TEXT(ROW()-8,"00"))</f>
      </c>
      <c r="C19" s="46"/>
      <c r="D19" s="46"/>
      <c r="E19" s="46"/>
      <c r="F19" s="46"/>
      <c r="G19" s="46"/>
      <c r="H19" s="46"/>
      <c r="I19" s="49"/>
      <c r="J19" s="49"/>
      <c r="K19" s="48">
        <f>IF(C19="","",IF(D19="","⚠ Phase manquante",IF(AND(E19&lt;&gt;"",LEFT(E19,LEN(LEFT(D19,FIND(" ·",D19&amp;" ·")-1))+1)&lt;&gt;LEFT(D19,FIND(" ·",D19&amp;" ·")-1)&amp;"."),"⚠ Sous-phase hors phase",IF(AND(I19&lt;&gt;"",IFERROR(OR(I19&lt;INDEX('07 Phases'!$F$9:$F$38,MATCH(D19,'07 Phases'!$B$9:$B$38,0)),I19&gt;INDEX('07 Phases'!$G$9:$G$38,MATCH(D19,'07 Phases'!$B$9:$B$38,0))),FALSE)),"◔ Date hors période de la phase","✓"))))</f>
      </c>
    </row>
    <row r="20" ht="21" customHeight="1" spans="2:11" x14ac:dyDescent="0.25">
      <c r="B20" s="47">
        <f>IF(C20="","","J"&amp;TEXT(ROW()-8,"00"))</f>
      </c>
      <c r="C20" s="46"/>
      <c r="D20" s="46"/>
      <c r="E20" s="46"/>
      <c r="F20" s="46"/>
      <c r="G20" s="46"/>
      <c r="H20" s="46"/>
      <c r="I20" s="49"/>
      <c r="J20" s="49"/>
      <c r="K20" s="48">
        <f>IF(C20="","",IF(D20="","⚠ Phase manquante",IF(AND(E20&lt;&gt;"",LEFT(E20,LEN(LEFT(D20,FIND(" ·",D20&amp;" ·")-1))+1)&lt;&gt;LEFT(D20,FIND(" ·",D20&amp;" ·")-1)&amp;"."),"⚠ Sous-phase hors phase",IF(AND(I20&lt;&gt;"",IFERROR(OR(I20&lt;INDEX('07 Phases'!$F$9:$F$38,MATCH(D20,'07 Phases'!$B$9:$B$38,0)),I20&gt;INDEX('07 Phases'!$G$9:$G$38,MATCH(D20,'07 Phases'!$B$9:$B$38,0))),FALSE)),"◔ Date hors période de la phase","✓"))))</f>
      </c>
    </row>
    <row r="21" ht="21" customHeight="1" spans="2:11" x14ac:dyDescent="0.25">
      <c r="B21" s="47">
        <f>IF(C21="","","J"&amp;TEXT(ROW()-8,"00"))</f>
      </c>
      <c r="C21" s="46"/>
      <c r="D21" s="46"/>
      <c r="E21" s="46"/>
      <c r="F21" s="46"/>
      <c r="G21" s="46"/>
      <c r="H21" s="46"/>
      <c r="I21" s="49"/>
      <c r="J21" s="49"/>
      <c r="K21" s="48">
        <f>IF(C21="","",IF(D21="","⚠ Phase manquante",IF(AND(E21&lt;&gt;"",LEFT(E21,LEN(LEFT(D21,FIND(" ·",D21&amp;" ·")-1))+1)&lt;&gt;LEFT(D21,FIND(" ·",D21&amp;" ·")-1)&amp;"."),"⚠ Sous-phase hors phase",IF(AND(I21&lt;&gt;"",IFERROR(OR(I21&lt;INDEX('07 Phases'!$F$9:$F$38,MATCH(D21,'07 Phases'!$B$9:$B$38,0)),I21&gt;INDEX('07 Phases'!$G$9:$G$38,MATCH(D21,'07 Phases'!$B$9:$B$38,0))),FALSE)),"◔ Date hors période de la phase","✓"))))</f>
      </c>
    </row>
    <row r="22" ht="21" customHeight="1" spans="2:11" x14ac:dyDescent="0.25">
      <c r="B22" s="47">
        <f>IF(C22="","","J"&amp;TEXT(ROW()-8,"00"))</f>
      </c>
      <c r="C22" s="46"/>
      <c r="D22" s="46"/>
      <c r="E22" s="46"/>
      <c r="F22" s="46"/>
      <c r="G22" s="46"/>
      <c r="H22" s="46"/>
      <c r="I22" s="49"/>
      <c r="J22" s="49"/>
      <c r="K22" s="48">
        <f>IF(C22="","",IF(D22="","⚠ Phase manquante",IF(AND(E22&lt;&gt;"",LEFT(E22,LEN(LEFT(D22,FIND(" ·",D22&amp;" ·")-1))+1)&lt;&gt;LEFT(D22,FIND(" ·",D22&amp;" ·")-1)&amp;"."),"⚠ Sous-phase hors phase",IF(AND(I22&lt;&gt;"",IFERROR(OR(I22&lt;INDEX('07 Phases'!$F$9:$F$38,MATCH(D22,'07 Phases'!$B$9:$B$38,0)),I22&gt;INDEX('07 Phases'!$G$9:$G$38,MATCH(D22,'07 Phases'!$B$9:$B$38,0))),FALSE)),"◔ Date hors période de la phase","✓"))))</f>
      </c>
    </row>
    <row r="23" ht="21" customHeight="1" spans="2:11" x14ac:dyDescent="0.25">
      <c r="B23" s="47">
        <f>IF(C23="","","J"&amp;TEXT(ROW()-8,"00"))</f>
      </c>
      <c r="C23" s="46"/>
      <c r="D23" s="46"/>
      <c r="E23" s="46"/>
      <c r="F23" s="46"/>
      <c r="G23" s="46"/>
      <c r="H23" s="46"/>
      <c r="I23" s="49"/>
      <c r="J23" s="49"/>
      <c r="K23" s="48">
        <f>IF(C23="","",IF(D23="","⚠ Phase manquante",IF(AND(E23&lt;&gt;"",LEFT(E23,LEN(LEFT(D23,FIND(" ·",D23&amp;" ·")-1))+1)&lt;&gt;LEFT(D23,FIND(" ·",D23&amp;" ·")-1)&amp;"."),"⚠ Sous-phase hors phase",IF(AND(I23&lt;&gt;"",IFERROR(OR(I23&lt;INDEX('07 Phases'!$F$9:$F$38,MATCH(D23,'07 Phases'!$B$9:$B$38,0)),I23&gt;INDEX('07 Phases'!$G$9:$G$38,MATCH(D23,'07 Phases'!$B$9:$B$38,0))),FALSE)),"◔ Date hors période de la phase","✓"))))</f>
      </c>
    </row>
    <row r="24" ht="21" customHeight="1" spans="2:11" x14ac:dyDescent="0.25">
      <c r="B24" s="47">
        <f>IF(C24="","","J"&amp;TEXT(ROW()-8,"00"))</f>
      </c>
      <c r="C24" s="46"/>
      <c r="D24" s="46"/>
      <c r="E24" s="46"/>
      <c r="F24" s="46"/>
      <c r="G24" s="46"/>
      <c r="H24" s="46"/>
      <c r="I24" s="49"/>
      <c r="J24" s="49"/>
      <c r="K24" s="48">
        <f>IF(C24="","",IF(D24="","⚠ Phase manquante",IF(AND(E24&lt;&gt;"",LEFT(E24,LEN(LEFT(D24,FIND(" ·",D24&amp;" ·")-1))+1)&lt;&gt;LEFT(D24,FIND(" ·",D24&amp;" ·")-1)&amp;"."),"⚠ Sous-phase hors phase",IF(AND(I24&lt;&gt;"",IFERROR(OR(I24&lt;INDEX('07 Phases'!$F$9:$F$38,MATCH(D24,'07 Phases'!$B$9:$B$38,0)),I24&gt;INDEX('07 Phases'!$G$9:$G$38,MATCH(D24,'07 Phases'!$B$9:$B$38,0))),FALSE)),"◔ Date hors période de la phase","✓"))))</f>
      </c>
    </row>
    <row r="25" ht="21" customHeight="1" spans="2:11" x14ac:dyDescent="0.25">
      <c r="B25" s="47">
        <f>IF(C25="","","J"&amp;TEXT(ROW()-8,"00"))</f>
      </c>
      <c r="C25" s="46"/>
      <c r="D25" s="46"/>
      <c r="E25" s="46"/>
      <c r="F25" s="46"/>
      <c r="G25" s="46"/>
      <c r="H25" s="46"/>
      <c r="I25" s="49"/>
      <c r="J25" s="49"/>
      <c r="K25" s="48">
        <f>IF(C25="","",IF(D25="","⚠ Phase manquante",IF(AND(E25&lt;&gt;"",LEFT(E25,LEN(LEFT(D25,FIND(" ·",D25&amp;" ·")-1))+1)&lt;&gt;LEFT(D25,FIND(" ·",D25&amp;" ·")-1)&amp;"."),"⚠ Sous-phase hors phase",IF(AND(I25&lt;&gt;"",IFERROR(OR(I25&lt;INDEX('07 Phases'!$F$9:$F$38,MATCH(D25,'07 Phases'!$B$9:$B$38,0)),I25&gt;INDEX('07 Phases'!$G$9:$G$38,MATCH(D25,'07 Phases'!$B$9:$B$38,0))),FALSE)),"◔ Date hors période de la phase","✓"))))</f>
      </c>
    </row>
    <row r="26" ht="21" customHeight="1" spans="2:11" x14ac:dyDescent="0.25">
      <c r="B26" s="47">
        <f>IF(C26="","","J"&amp;TEXT(ROW()-8,"00"))</f>
      </c>
      <c r="C26" s="46"/>
      <c r="D26" s="46"/>
      <c r="E26" s="46"/>
      <c r="F26" s="46"/>
      <c r="G26" s="46"/>
      <c r="H26" s="46"/>
      <c r="I26" s="49"/>
      <c r="J26" s="49"/>
      <c r="K26" s="48">
        <f>IF(C26="","",IF(D26="","⚠ Phase manquante",IF(AND(E26&lt;&gt;"",LEFT(E26,LEN(LEFT(D26,FIND(" ·",D26&amp;" ·")-1))+1)&lt;&gt;LEFT(D26,FIND(" ·",D26&amp;" ·")-1)&amp;"."),"⚠ Sous-phase hors phase",IF(AND(I26&lt;&gt;"",IFERROR(OR(I26&lt;INDEX('07 Phases'!$F$9:$F$38,MATCH(D26,'07 Phases'!$B$9:$B$38,0)),I26&gt;INDEX('07 Phases'!$G$9:$G$38,MATCH(D26,'07 Phases'!$B$9:$B$38,0))),FALSE)),"◔ Date hors période de la phase","✓"))))</f>
      </c>
    </row>
    <row r="27" ht="21" customHeight="1" spans="2:11" x14ac:dyDescent="0.25">
      <c r="B27" s="47">
        <f>IF(C27="","","J"&amp;TEXT(ROW()-8,"00"))</f>
      </c>
      <c r="C27" s="46"/>
      <c r="D27" s="46"/>
      <c r="E27" s="46"/>
      <c r="F27" s="46"/>
      <c r="G27" s="46"/>
      <c r="H27" s="46"/>
      <c r="I27" s="49"/>
      <c r="J27" s="49"/>
      <c r="K27" s="48">
        <f>IF(C27="","",IF(D27="","⚠ Phase manquante",IF(AND(E27&lt;&gt;"",LEFT(E27,LEN(LEFT(D27,FIND(" ·",D27&amp;" ·")-1))+1)&lt;&gt;LEFT(D27,FIND(" ·",D27&amp;" ·")-1)&amp;"."),"⚠ Sous-phase hors phase",IF(AND(I27&lt;&gt;"",IFERROR(OR(I27&lt;INDEX('07 Phases'!$F$9:$F$38,MATCH(D27,'07 Phases'!$B$9:$B$38,0)),I27&gt;INDEX('07 Phases'!$G$9:$G$38,MATCH(D27,'07 Phases'!$B$9:$B$38,0))),FALSE)),"◔ Date hors période de la phase","✓"))))</f>
      </c>
    </row>
    <row r="28" ht="21" customHeight="1" spans="2:11" x14ac:dyDescent="0.25">
      <c r="B28" s="47">
        <f>IF(C28="","","J"&amp;TEXT(ROW()-8,"00"))</f>
      </c>
      <c r="C28" s="46"/>
      <c r="D28" s="46"/>
      <c r="E28" s="46"/>
      <c r="F28" s="46"/>
      <c r="G28" s="46"/>
      <c r="H28" s="46"/>
      <c r="I28" s="49"/>
      <c r="J28" s="49"/>
      <c r="K28" s="48">
        <f>IF(C28="","",IF(D28="","⚠ Phase manquante",IF(AND(E28&lt;&gt;"",LEFT(E28,LEN(LEFT(D28,FIND(" ·",D28&amp;" ·")-1))+1)&lt;&gt;LEFT(D28,FIND(" ·",D28&amp;" ·")-1)&amp;"."),"⚠ Sous-phase hors phase",IF(AND(I28&lt;&gt;"",IFERROR(OR(I28&lt;INDEX('07 Phases'!$F$9:$F$38,MATCH(D28,'07 Phases'!$B$9:$B$38,0)),I28&gt;INDEX('07 Phases'!$G$9:$G$38,MATCH(D28,'07 Phases'!$B$9:$B$38,0))),FALSE)),"◔ Date hors période de la phase","✓"))))</f>
      </c>
    </row>
    <row r="29" ht="21" customHeight="1" spans="2:11" x14ac:dyDescent="0.25">
      <c r="B29" s="47">
        <f>IF(C29="","","J"&amp;TEXT(ROW()-8,"00"))</f>
      </c>
      <c r="C29" s="46"/>
      <c r="D29" s="46"/>
      <c r="E29" s="46"/>
      <c r="F29" s="46"/>
      <c r="G29" s="46"/>
      <c r="H29" s="46"/>
      <c r="I29" s="49"/>
      <c r="J29" s="49"/>
      <c r="K29" s="48">
        <f>IF(C29="","",IF(D29="","⚠ Phase manquante",IF(AND(E29&lt;&gt;"",LEFT(E29,LEN(LEFT(D29,FIND(" ·",D29&amp;" ·")-1))+1)&lt;&gt;LEFT(D29,FIND(" ·",D29&amp;" ·")-1)&amp;"."),"⚠ Sous-phase hors phase",IF(AND(I29&lt;&gt;"",IFERROR(OR(I29&lt;INDEX('07 Phases'!$F$9:$F$38,MATCH(D29,'07 Phases'!$B$9:$B$38,0)),I29&gt;INDEX('07 Phases'!$G$9:$G$38,MATCH(D29,'07 Phases'!$B$9:$B$38,0))),FALSE)),"◔ Date hors période de la phase","✓"))))</f>
      </c>
    </row>
    <row r="30" ht="21" customHeight="1" spans="2:11" x14ac:dyDescent="0.25">
      <c r="B30" s="47">
        <f>IF(C30="","","J"&amp;TEXT(ROW()-8,"00"))</f>
      </c>
      <c r="C30" s="46"/>
      <c r="D30" s="46"/>
      <c r="E30" s="46"/>
      <c r="F30" s="46"/>
      <c r="G30" s="46"/>
      <c r="H30" s="46"/>
      <c r="I30" s="49"/>
      <c r="J30" s="49"/>
      <c r="K30" s="48">
        <f>IF(C30="","",IF(D30="","⚠ Phase manquante",IF(AND(E30&lt;&gt;"",LEFT(E30,LEN(LEFT(D30,FIND(" ·",D30&amp;" ·")-1))+1)&lt;&gt;LEFT(D30,FIND(" ·",D30&amp;" ·")-1)&amp;"."),"⚠ Sous-phase hors phase",IF(AND(I30&lt;&gt;"",IFERROR(OR(I30&lt;INDEX('07 Phases'!$F$9:$F$38,MATCH(D30,'07 Phases'!$B$9:$B$38,0)),I30&gt;INDEX('07 Phases'!$G$9:$G$38,MATCH(D30,'07 Phases'!$B$9:$B$38,0))),FALSE)),"◔ Date hors période de la phase","✓"))))</f>
      </c>
    </row>
    <row r="31" ht="21" customHeight="1" spans="2:11" x14ac:dyDescent="0.25">
      <c r="B31" s="47">
        <f>IF(C31="","","J"&amp;TEXT(ROW()-8,"00"))</f>
      </c>
      <c r="C31" s="46"/>
      <c r="D31" s="46"/>
      <c r="E31" s="46"/>
      <c r="F31" s="46"/>
      <c r="G31" s="46"/>
      <c r="H31" s="46"/>
      <c r="I31" s="49"/>
      <c r="J31" s="49"/>
      <c r="K31" s="48">
        <f>IF(C31="","",IF(D31="","⚠ Phase manquante",IF(AND(E31&lt;&gt;"",LEFT(E31,LEN(LEFT(D31,FIND(" ·",D31&amp;" ·")-1))+1)&lt;&gt;LEFT(D31,FIND(" ·",D31&amp;" ·")-1)&amp;"."),"⚠ Sous-phase hors phase",IF(AND(I31&lt;&gt;"",IFERROR(OR(I31&lt;INDEX('07 Phases'!$F$9:$F$38,MATCH(D31,'07 Phases'!$B$9:$B$38,0)),I31&gt;INDEX('07 Phases'!$G$9:$G$38,MATCH(D31,'07 Phases'!$B$9:$B$38,0))),FALSE)),"◔ Date hors période de la phase","✓"))))</f>
      </c>
    </row>
    <row r="32" ht="21" customHeight="1" spans="2:11" x14ac:dyDescent="0.25">
      <c r="B32" s="47">
        <f>IF(C32="","","J"&amp;TEXT(ROW()-8,"00"))</f>
      </c>
      <c r="C32" s="46"/>
      <c r="D32" s="46"/>
      <c r="E32" s="46"/>
      <c r="F32" s="46"/>
      <c r="G32" s="46"/>
      <c r="H32" s="46"/>
      <c r="I32" s="49"/>
      <c r="J32" s="49"/>
      <c r="K32" s="48">
        <f>IF(C32="","",IF(D32="","⚠ Phase manquante",IF(AND(E32&lt;&gt;"",LEFT(E32,LEN(LEFT(D32,FIND(" ·",D32&amp;" ·")-1))+1)&lt;&gt;LEFT(D32,FIND(" ·",D32&amp;" ·")-1)&amp;"."),"⚠ Sous-phase hors phase",IF(AND(I32&lt;&gt;"",IFERROR(OR(I32&lt;INDEX('07 Phases'!$F$9:$F$38,MATCH(D32,'07 Phases'!$B$9:$B$38,0)),I32&gt;INDEX('07 Phases'!$G$9:$G$38,MATCH(D32,'07 Phases'!$B$9:$B$38,0))),FALSE)),"◔ Date hors période de la phase","✓"))))</f>
      </c>
    </row>
    <row r="33" ht="21" customHeight="1" spans="2:11" x14ac:dyDescent="0.25">
      <c r="B33" s="47">
        <f>IF(C33="","","J"&amp;TEXT(ROW()-8,"00"))</f>
      </c>
      <c r="C33" s="46"/>
      <c r="D33" s="46"/>
      <c r="E33" s="46"/>
      <c r="F33" s="46"/>
      <c r="G33" s="46"/>
      <c r="H33" s="46"/>
      <c r="I33" s="49"/>
      <c r="J33" s="49"/>
      <c r="K33" s="48">
        <f>IF(C33="","",IF(D33="","⚠ Phase manquante",IF(AND(E33&lt;&gt;"",LEFT(E33,LEN(LEFT(D33,FIND(" ·",D33&amp;" ·")-1))+1)&lt;&gt;LEFT(D33,FIND(" ·",D33&amp;" ·")-1)&amp;"."),"⚠ Sous-phase hors phase",IF(AND(I33&lt;&gt;"",IFERROR(OR(I33&lt;INDEX('07 Phases'!$F$9:$F$38,MATCH(D33,'07 Phases'!$B$9:$B$38,0)),I33&gt;INDEX('07 Phases'!$G$9:$G$38,MATCH(D33,'07 Phases'!$B$9:$B$38,0))),FALSE)),"◔ Date hors période de la phase","✓"))))</f>
      </c>
    </row>
    <row r="34" ht="21" customHeight="1" spans="2:11" x14ac:dyDescent="0.25">
      <c r="B34" s="47">
        <f>IF(C34="","","J"&amp;TEXT(ROW()-8,"00"))</f>
      </c>
      <c r="C34" s="46"/>
      <c r="D34" s="46"/>
      <c r="E34" s="46"/>
      <c r="F34" s="46"/>
      <c r="G34" s="46"/>
      <c r="H34" s="46"/>
      <c r="I34" s="49"/>
      <c r="J34" s="49"/>
      <c r="K34" s="48">
        <f>IF(C34="","",IF(D34="","⚠ Phase manquante",IF(AND(E34&lt;&gt;"",LEFT(E34,LEN(LEFT(D34,FIND(" ·",D34&amp;" ·")-1))+1)&lt;&gt;LEFT(D34,FIND(" ·",D34&amp;" ·")-1)&amp;"."),"⚠ Sous-phase hors phase",IF(AND(I34&lt;&gt;"",IFERROR(OR(I34&lt;INDEX('07 Phases'!$F$9:$F$38,MATCH(D34,'07 Phases'!$B$9:$B$38,0)),I34&gt;INDEX('07 Phases'!$G$9:$G$38,MATCH(D34,'07 Phases'!$B$9:$B$38,0))),FALSE)),"◔ Date hors période de la phase","✓"))))</f>
      </c>
    </row>
    <row r="35" ht="21" customHeight="1" spans="2:11" x14ac:dyDescent="0.25">
      <c r="B35" s="47">
        <f>IF(C35="","","J"&amp;TEXT(ROW()-8,"00"))</f>
      </c>
      <c r="C35" s="46"/>
      <c r="D35" s="46"/>
      <c r="E35" s="46"/>
      <c r="F35" s="46"/>
      <c r="G35" s="46"/>
      <c r="H35" s="46"/>
      <c r="I35" s="49"/>
      <c r="J35" s="49"/>
      <c r="K35" s="48">
        <f>IF(C35="","",IF(D35="","⚠ Phase manquante",IF(AND(E35&lt;&gt;"",LEFT(E35,LEN(LEFT(D35,FIND(" ·",D35&amp;" ·")-1))+1)&lt;&gt;LEFT(D35,FIND(" ·",D35&amp;" ·")-1)&amp;"."),"⚠ Sous-phase hors phase",IF(AND(I35&lt;&gt;"",IFERROR(OR(I35&lt;INDEX('07 Phases'!$F$9:$F$38,MATCH(D35,'07 Phases'!$B$9:$B$38,0)),I35&gt;INDEX('07 Phases'!$G$9:$G$38,MATCH(D35,'07 Phases'!$B$9:$B$38,0))),FALSE)),"◔ Date hors période de la phase","✓"))))</f>
      </c>
    </row>
    <row r="36" ht="21" customHeight="1" spans="2:11" x14ac:dyDescent="0.25">
      <c r="B36" s="47">
        <f>IF(C36="","","J"&amp;TEXT(ROW()-8,"00"))</f>
      </c>
      <c r="C36" s="46"/>
      <c r="D36" s="46"/>
      <c r="E36" s="46"/>
      <c r="F36" s="46"/>
      <c r="G36" s="46"/>
      <c r="H36" s="46"/>
      <c r="I36" s="49"/>
      <c r="J36" s="49"/>
      <c r="K36" s="48">
        <f>IF(C36="","",IF(D36="","⚠ Phase manquante",IF(AND(E36&lt;&gt;"",LEFT(E36,LEN(LEFT(D36,FIND(" ·",D36&amp;" ·")-1))+1)&lt;&gt;LEFT(D36,FIND(" ·",D36&amp;" ·")-1)&amp;"."),"⚠ Sous-phase hors phase",IF(AND(I36&lt;&gt;"",IFERROR(OR(I36&lt;INDEX('07 Phases'!$F$9:$F$38,MATCH(D36,'07 Phases'!$B$9:$B$38,0)),I36&gt;INDEX('07 Phases'!$G$9:$G$38,MATCH(D36,'07 Phases'!$B$9:$B$38,0))),FALSE)),"◔ Date hors période de la phase","✓"))))</f>
      </c>
    </row>
    <row r="37" ht="21" customHeight="1" spans="2:11" x14ac:dyDescent="0.25">
      <c r="B37" s="47">
        <f>IF(C37="","","J"&amp;TEXT(ROW()-8,"00"))</f>
      </c>
      <c r="C37" s="46"/>
      <c r="D37" s="46"/>
      <c r="E37" s="46"/>
      <c r="F37" s="46"/>
      <c r="G37" s="46"/>
      <c r="H37" s="46"/>
      <c r="I37" s="49"/>
      <c r="J37" s="49"/>
      <c r="K37" s="48">
        <f>IF(C37="","",IF(D37="","⚠ Phase manquante",IF(AND(E37&lt;&gt;"",LEFT(E37,LEN(LEFT(D37,FIND(" ·",D37&amp;" ·")-1))+1)&lt;&gt;LEFT(D37,FIND(" ·",D37&amp;" ·")-1)&amp;"."),"⚠ Sous-phase hors phase",IF(AND(I37&lt;&gt;"",IFERROR(OR(I37&lt;INDEX('07 Phases'!$F$9:$F$38,MATCH(D37,'07 Phases'!$B$9:$B$38,0)),I37&gt;INDEX('07 Phases'!$G$9:$G$38,MATCH(D37,'07 Phases'!$B$9:$B$38,0))),FALSE)),"◔ Date hors période de la phase","✓"))))</f>
      </c>
    </row>
    <row r="38" ht="21" customHeight="1" spans="2:11" x14ac:dyDescent="0.25">
      <c r="B38" s="47">
        <f>IF(C38="","","J"&amp;TEXT(ROW()-8,"00"))</f>
      </c>
      <c r="C38" s="46"/>
      <c r="D38" s="46"/>
      <c r="E38" s="46"/>
      <c r="F38" s="46"/>
      <c r="G38" s="46"/>
      <c r="H38" s="46"/>
      <c r="I38" s="49"/>
      <c r="J38" s="49"/>
      <c r="K38" s="48">
        <f>IF(C38="","",IF(D38="","⚠ Phase manquante",IF(AND(E38&lt;&gt;"",LEFT(E38,LEN(LEFT(D38,FIND(" ·",D38&amp;" ·")-1))+1)&lt;&gt;LEFT(D38,FIND(" ·",D38&amp;" ·")-1)&amp;"."),"⚠ Sous-phase hors phase",IF(AND(I38&lt;&gt;"",IFERROR(OR(I38&lt;INDEX('07 Phases'!$F$9:$F$38,MATCH(D38,'07 Phases'!$B$9:$B$38,0)),I38&gt;INDEX('07 Phases'!$G$9:$G$38,MATCH(D38,'07 Phases'!$B$9:$B$38,0))),FALSE)),"◔ Date hors période de la phase","✓"))))</f>
      </c>
    </row>
    <row r="39" ht="21" customHeight="1" spans="2:11" x14ac:dyDescent="0.25">
      <c r="B39" s="47">
        <f>IF(C39="","","J"&amp;TEXT(ROW()-8,"00"))</f>
      </c>
      <c r="C39" s="46"/>
      <c r="D39" s="46"/>
      <c r="E39" s="46"/>
      <c r="F39" s="46"/>
      <c r="G39" s="46"/>
      <c r="H39" s="46"/>
      <c r="I39" s="49"/>
      <c r="J39" s="49"/>
      <c r="K39" s="48">
        <f>IF(C39="","",IF(D39="","⚠ Phase manquante",IF(AND(E39&lt;&gt;"",LEFT(E39,LEN(LEFT(D39,FIND(" ·",D39&amp;" ·")-1))+1)&lt;&gt;LEFT(D39,FIND(" ·",D39&amp;" ·")-1)&amp;"."),"⚠ Sous-phase hors phase",IF(AND(I39&lt;&gt;"",IFERROR(OR(I39&lt;INDEX('07 Phases'!$F$9:$F$38,MATCH(D39,'07 Phases'!$B$9:$B$38,0)),I39&gt;INDEX('07 Phases'!$G$9:$G$38,MATCH(D39,'07 Phases'!$B$9:$B$38,0))),FALSE)),"◔ Date hors période de la phase","✓"))))</f>
      </c>
    </row>
    <row r="40" ht="21" customHeight="1" spans="2:11" x14ac:dyDescent="0.25">
      <c r="B40" s="47">
        <f>IF(C40="","","J"&amp;TEXT(ROW()-8,"00"))</f>
      </c>
      <c r="C40" s="46"/>
      <c r="D40" s="46"/>
      <c r="E40" s="46"/>
      <c r="F40" s="46"/>
      <c r="G40" s="46"/>
      <c r="H40" s="46"/>
      <c r="I40" s="49"/>
      <c r="J40" s="49"/>
      <c r="K40" s="48">
        <f>IF(C40="","",IF(D40="","⚠ Phase manquante",IF(AND(E40&lt;&gt;"",LEFT(E40,LEN(LEFT(D40,FIND(" ·",D40&amp;" ·")-1))+1)&lt;&gt;LEFT(D40,FIND(" ·",D40&amp;" ·")-1)&amp;"."),"⚠ Sous-phase hors phase",IF(AND(I40&lt;&gt;"",IFERROR(OR(I40&lt;INDEX('07 Phases'!$F$9:$F$38,MATCH(D40,'07 Phases'!$B$9:$B$38,0)),I40&gt;INDEX('07 Phases'!$G$9:$G$38,MATCH(D40,'07 Phases'!$B$9:$B$38,0))),FALSE)),"◔ Date hors période de la phase","✓"))))</f>
      </c>
    </row>
    <row r="41" ht="21" customHeight="1" spans="2:11" x14ac:dyDescent="0.25">
      <c r="B41" s="47">
        <f>IF(C41="","","J"&amp;TEXT(ROW()-8,"00"))</f>
      </c>
      <c r="C41" s="46"/>
      <c r="D41" s="46"/>
      <c r="E41" s="46"/>
      <c r="F41" s="46"/>
      <c r="G41" s="46"/>
      <c r="H41" s="46"/>
      <c r="I41" s="49"/>
      <c r="J41" s="49"/>
      <c r="K41" s="48">
        <f>IF(C41="","",IF(D41="","⚠ Phase manquante",IF(AND(E41&lt;&gt;"",LEFT(E41,LEN(LEFT(D41,FIND(" ·",D41&amp;" ·")-1))+1)&lt;&gt;LEFT(D41,FIND(" ·",D41&amp;" ·")-1)&amp;"."),"⚠ Sous-phase hors phase",IF(AND(I41&lt;&gt;"",IFERROR(OR(I41&lt;INDEX('07 Phases'!$F$9:$F$38,MATCH(D41,'07 Phases'!$B$9:$B$38,0)),I41&gt;INDEX('07 Phases'!$G$9:$G$38,MATCH(D41,'07 Phases'!$B$9:$B$38,0))),FALSE)),"◔ Date hors période de la phase","✓"))))</f>
      </c>
    </row>
    <row r="42" ht="21" customHeight="1" spans="2:11" x14ac:dyDescent="0.25">
      <c r="B42" s="47">
        <f>IF(C42="","","J"&amp;TEXT(ROW()-8,"00"))</f>
      </c>
      <c r="C42" s="46"/>
      <c r="D42" s="46"/>
      <c r="E42" s="46"/>
      <c r="F42" s="46"/>
      <c r="G42" s="46"/>
      <c r="H42" s="46"/>
      <c r="I42" s="49"/>
      <c r="J42" s="49"/>
      <c r="K42" s="48">
        <f>IF(C42="","",IF(D42="","⚠ Phase manquante",IF(AND(E42&lt;&gt;"",LEFT(E42,LEN(LEFT(D42,FIND(" ·",D42&amp;" ·")-1))+1)&lt;&gt;LEFT(D42,FIND(" ·",D42&amp;" ·")-1)&amp;"."),"⚠ Sous-phase hors phase",IF(AND(I42&lt;&gt;"",IFERROR(OR(I42&lt;INDEX('07 Phases'!$F$9:$F$38,MATCH(D42,'07 Phases'!$B$9:$B$38,0)),I42&gt;INDEX('07 Phases'!$G$9:$G$38,MATCH(D42,'07 Phases'!$B$9:$B$38,0))),FALSE)),"◔ Date hors période de la phase","✓"))))</f>
      </c>
    </row>
    <row r="43" ht="21" customHeight="1" spans="2:11" x14ac:dyDescent="0.25">
      <c r="B43" s="47">
        <f>IF(C43="","","J"&amp;TEXT(ROW()-8,"00"))</f>
      </c>
      <c r="C43" s="46"/>
      <c r="D43" s="46"/>
      <c r="E43" s="46"/>
      <c r="F43" s="46"/>
      <c r="G43" s="46"/>
      <c r="H43" s="46"/>
      <c r="I43" s="49"/>
      <c r="J43" s="49"/>
      <c r="K43" s="48">
        <f>IF(C43="","",IF(D43="","⚠ Phase manquante",IF(AND(E43&lt;&gt;"",LEFT(E43,LEN(LEFT(D43,FIND(" ·",D43&amp;" ·")-1))+1)&lt;&gt;LEFT(D43,FIND(" ·",D43&amp;" ·")-1)&amp;"."),"⚠ Sous-phase hors phase",IF(AND(I43&lt;&gt;"",IFERROR(OR(I43&lt;INDEX('07 Phases'!$F$9:$F$38,MATCH(D43,'07 Phases'!$B$9:$B$38,0)),I43&gt;INDEX('07 Phases'!$G$9:$G$38,MATCH(D43,'07 Phases'!$B$9:$B$38,0))),FALSE)),"◔ Date hors période de la phase","✓"))))</f>
      </c>
    </row>
    <row r="44" ht="21" customHeight="1" spans="2:11" x14ac:dyDescent="0.25">
      <c r="B44" s="47">
        <f>IF(C44="","","J"&amp;TEXT(ROW()-8,"00"))</f>
      </c>
      <c r="C44" s="46"/>
      <c r="D44" s="46"/>
      <c r="E44" s="46"/>
      <c r="F44" s="46"/>
      <c r="G44" s="46"/>
      <c r="H44" s="46"/>
      <c r="I44" s="49"/>
      <c r="J44" s="49"/>
      <c r="K44" s="48">
        <f>IF(C44="","",IF(D44="","⚠ Phase manquante",IF(AND(E44&lt;&gt;"",LEFT(E44,LEN(LEFT(D44,FIND(" ·",D44&amp;" ·")-1))+1)&lt;&gt;LEFT(D44,FIND(" ·",D44&amp;" ·")-1)&amp;"."),"⚠ Sous-phase hors phase",IF(AND(I44&lt;&gt;"",IFERROR(OR(I44&lt;INDEX('07 Phases'!$F$9:$F$38,MATCH(D44,'07 Phases'!$B$9:$B$38,0)),I44&gt;INDEX('07 Phases'!$G$9:$G$38,MATCH(D44,'07 Phases'!$B$9:$B$38,0))),FALSE)),"◔ Date hors période de la phase","✓"))))</f>
      </c>
    </row>
    <row r="45" ht="21" customHeight="1" spans="2:11" x14ac:dyDescent="0.25">
      <c r="B45" s="47">
        <f>IF(C45="","","J"&amp;TEXT(ROW()-8,"00"))</f>
      </c>
      <c r="C45" s="46"/>
      <c r="D45" s="46"/>
      <c r="E45" s="46"/>
      <c r="F45" s="46"/>
      <c r="G45" s="46"/>
      <c r="H45" s="46"/>
      <c r="I45" s="49"/>
      <c r="J45" s="49"/>
      <c r="K45" s="48">
        <f>IF(C45="","",IF(D45="","⚠ Phase manquante",IF(AND(E45&lt;&gt;"",LEFT(E45,LEN(LEFT(D45,FIND(" ·",D45&amp;" ·")-1))+1)&lt;&gt;LEFT(D45,FIND(" ·",D45&amp;" ·")-1)&amp;"."),"⚠ Sous-phase hors phase",IF(AND(I45&lt;&gt;"",IFERROR(OR(I45&lt;INDEX('07 Phases'!$F$9:$F$38,MATCH(D45,'07 Phases'!$B$9:$B$38,0)),I45&gt;INDEX('07 Phases'!$G$9:$G$38,MATCH(D45,'07 Phases'!$B$9:$B$38,0))),FALSE)),"◔ Date hors période de la phase","✓"))))</f>
      </c>
    </row>
    <row r="46" ht="21" customHeight="1" spans="2:11" x14ac:dyDescent="0.25">
      <c r="B46" s="47">
        <f>IF(C46="","","J"&amp;TEXT(ROW()-8,"00"))</f>
      </c>
      <c r="C46" s="46"/>
      <c r="D46" s="46"/>
      <c r="E46" s="46"/>
      <c r="F46" s="46"/>
      <c r="G46" s="46"/>
      <c r="H46" s="46"/>
      <c r="I46" s="49"/>
      <c r="J46" s="49"/>
      <c r="K46" s="48">
        <f>IF(C46="","",IF(D46="","⚠ Phase manquante",IF(AND(E46&lt;&gt;"",LEFT(E46,LEN(LEFT(D46,FIND(" ·",D46&amp;" ·")-1))+1)&lt;&gt;LEFT(D46,FIND(" ·",D46&amp;" ·")-1)&amp;"."),"⚠ Sous-phase hors phase",IF(AND(I46&lt;&gt;"",IFERROR(OR(I46&lt;INDEX('07 Phases'!$F$9:$F$38,MATCH(D46,'07 Phases'!$B$9:$B$38,0)),I46&gt;INDEX('07 Phases'!$G$9:$G$38,MATCH(D46,'07 Phases'!$B$9:$B$38,0))),FALSE)),"◔ Date hors période de la phase","✓"))))</f>
      </c>
    </row>
    <row r="47" ht="21" customHeight="1" spans="2:11" x14ac:dyDescent="0.25">
      <c r="B47" s="47">
        <f>IF(C47="","","J"&amp;TEXT(ROW()-8,"00"))</f>
      </c>
      <c r="C47" s="46"/>
      <c r="D47" s="46"/>
      <c r="E47" s="46"/>
      <c r="F47" s="46"/>
      <c r="G47" s="46"/>
      <c r="H47" s="46"/>
      <c r="I47" s="49"/>
      <c r="J47" s="49"/>
      <c r="K47" s="48">
        <f>IF(C47="","",IF(D47="","⚠ Phase manquante",IF(AND(E47&lt;&gt;"",LEFT(E47,LEN(LEFT(D47,FIND(" ·",D47&amp;" ·")-1))+1)&lt;&gt;LEFT(D47,FIND(" ·",D47&amp;" ·")-1)&amp;"."),"⚠ Sous-phase hors phase",IF(AND(I47&lt;&gt;"",IFERROR(OR(I47&lt;INDEX('07 Phases'!$F$9:$F$38,MATCH(D47,'07 Phases'!$B$9:$B$38,0)),I47&gt;INDEX('07 Phases'!$G$9:$G$38,MATCH(D47,'07 Phases'!$B$9:$B$38,0))),FALSE)),"◔ Date hors période de la phase","✓"))))</f>
      </c>
    </row>
    <row r="48" ht="21" customHeight="1" spans="2:11" x14ac:dyDescent="0.25">
      <c r="B48" s="47">
        <f>IF(C48="","","J"&amp;TEXT(ROW()-8,"00"))</f>
      </c>
      <c r="C48" s="46"/>
      <c r="D48" s="46"/>
      <c r="E48" s="46"/>
      <c r="F48" s="46"/>
      <c r="G48" s="46"/>
      <c r="H48" s="46"/>
      <c r="I48" s="49"/>
      <c r="J48" s="49"/>
      <c r="K48" s="48">
        <f>IF(C48="","",IF(D48="","⚠ Phase manquante",IF(AND(E48&lt;&gt;"",LEFT(E48,LEN(LEFT(D48,FIND(" ·",D48&amp;" ·")-1))+1)&lt;&gt;LEFT(D48,FIND(" ·",D48&amp;" ·")-1)&amp;"."),"⚠ Sous-phase hors phase",IF(AND(I48&lt;&gt;"",IFERROR(OR(I48&lt;INDEX('07 Phases'!$F$9:$F$38,MATCH(D48,'07 Phases'!$B$9:$B$38,0)),I48&gt;INDEX('07 Phases'!$G$9:$G$38,MATCH(D48,'07 Phases'!$B$9:$B$38,0))),FALSE)),"◔ Date hors période de la phase","✓"))))</f>
      </c>
    </row>
    <row r="49" ht="21" customHeight="1" spans="2:11" x14ac:dyDescent="0.25">
      <c r="B49" s="47">
        <f>IF(C49="","","J"&amp;TEXT(ROW()-8,"00"))</f>
      </c>
      <c r="C49" s="46"/>
      <c r="D49" s="46"/>
      <c r="E49" s="46"/>
      <c r="F49" s="46"/>
      <c r="G49" s="46"/>
      <c r="H49" s="46"/>
      <c r="I49" s="49"/>
      <c r="J49" s="49"/>
      <c r="K49" s="48">
        <f>IF(C49="","",IF(D49="","⚠ Phase manquante",IF(AND(E49&lt;&gt;"",LEFT(E49,LEN(LEFT(D49,FIND(" ·",D49&amp;" ·")-1))+1)&lt;&gt;LEFT(D49,FIND(" ·",D49&amp;" ·")-1)&amp;"."),"⚠ Sous-phase hors phase",IF(AND(I49&lt;&gt;"",IFERROR(OR(I49&lt;INDEX('07 Phases'!$F$9:$F$38,MATCH(D49,'07 Phases'!$B$9:$B$38,0)),I49&gt;INDEX('07 Phases'!$G$9:$G$38,MATCH(D49,'07 Phases'!$B$9:$B$38,0))),FALSE)),"◔ Date hors période de la phase","✓"))))</f>
      </c>
    </row>
    <row r="50" ht="21" customHeight="1" spans="2:11" x14ac:dyDescent="0.25">
      <c r="B50" s="47">
        <f>IF(C50="","","J"&amp;TEXT(ROW()-8,"00"))</f>
      </c>
      <c r="C50" s="46"/>
      <c r="D50" s="46"/>
      <c r="E50" s="46"/>
      <c r="F50" s="46"/>
      <c r="G50" s="46"/>
      <c r="H50" s="46"/>
      <c r="I50" s="49"/>
      <c r="J50" s="49"/>
      <c r="K50" s="48">
        <f>IF(C50="","",IF(D50="","⚠ Phase manquante",IF(AND(E50&lt;&gt;"",LEFT(E50,LEN(LEFT(D50,FIND(" ·",D50&amp;" ·")-1))+1)&lt;&gt;LEFT(D50,FIND(" ·",D50&amp;" ·")-1)&amp;"."),"⚠ Sous-phase hors phase",IF(AND(I50&lt;&gt;"",IFERROR(OR(I50&lt;INDEX('07 Phases'!$F$9:$F$38,MATCH(D50,'07 Phases'!$B$9:$B$38,0)),I50&gt;INDEX('07 Phases'!$G$9:$G$38,MATCH(D50,'07 Phases'!$B$9:$B$38,0))),FALSE)),"◔ Date hors période de la phase","✓"))))</f>
      </c>
    </row>
    <row r="51" ht="21" customHeight="1" spans="2:11" x14ac:dyDescent="0.25">
      <c r="B51" s="47">
        <f>IF(C51="","","J"&amp;TEXT(ROW()-8,"00"))</f>
      </c>
      <c r="C51" s="46"/>
      <c r="D51" s="46"/>
      <c r="E51" s="46"/>
      <c r="F51" s="46"/>
      <c r="G51" s="46"/>
      <c r="H51" s="46"/>
      <c r="I51" s="49"/>
      <c r="J51" s="49"/>
      <c r="K51" s="48">
        <f>IF(C51="","",IF(D51="","⚠ Phase manquante",IF(AND(E51&lt;&gt;"",LEFT(E51,LEN(LEFT(D51,FIND(" ·",D51&amp;" ·")-1))+1)&lt;&gt;LEFT(D51,FIND(" ·",D51&amp;" ·")-1)&amp;"."),"⚠ Sous-phase hors phase",IF(AND(I51&lt;&gt;"",IFERROR(OR(I51&lt;INDEX('07 Phases'!$F$9:$F$38,MATCH(D51,'07 Phases'!$B$9:$B$38,0)),I51&gt;INDEX('07 Phases'!$G$9:$G$38,MATCH(D51,'07 Phases'!$B$9:$B$38,0))),FALSE)),"◔ Date hors période de la phase","✓"))))</f>
      </c>
    </row>
    <row r="52" ht="21" customHeight="1" spans="2:11" x14ac:dyDescent="0.25">
      <c r="B52" s="47">
        <f>IF(C52="","","J"&amp;TEXT(ROW()-8,"00"))</f>
      </c>
      <c r="C52" s="46"/>
      <c r="D52" s="46"/>
      <c r="E52" s="46"/>
      <c r="F52" s="46"/>
      <c r="G52" s="46"/>
      <c r="H52" s="46"/>
      <c r="I52" s="49"/>
      <c r="J52" s="49"/>
      <c r="K52" s="48">
        <f>IF(C52="","",IF(D52="","⚠ Phase manquante",IF(AND(E52&lt;&gt;"",LEFT(E52,LEN(LEFT(D52,FIND(" ·",D52&amp;" ·")-1))+1)&lt;&gt;LEFT(D52,FIND(" ·",D52&amp;" ·")-1)&amp;"."),"⚠ Sous-phase hors phase",IF(AND(I52&lt;&gt;"",IFERROR(OR(I52&lt;INDEX('07 Phases'!$F$9:$F$38,MATCH(D52,'07 Phases'!$B$9:$B$38,0)),I52&gt;INDEX('07 Phases'!$G$9:$G$38,MATCH(D52,'07 Phases'!$B$9:$B$38,0))),FALSE)),"◔ Date hors période de la phase","✓"))))</f>
      </c>
    </row>
    <row r="53" ht="21" customHeight="1" spans="2:11" x14ac:dyDescent="0.25">
      <c r="B53" s="47">
        <f>IF(C53="","","J"&amp;TEXT(ROW()-8,"00"))</f>
      </c>
      <c r="C53" s="46"/>
      <c r="D53" s="46"/>
      <c r="E53" s="46"/>
      <c r="F53" s="46"/>
      <c r="G53" s="46"/>
      <c r="H53" s="46"/>
      <c r="I53" s="49"/>
      <c r="J53" s="49"/>
      <c r="K53" s="48">
        <f>IF(C53="","",IF(D53="","⚠ Phase manquante",IF(AND(E53&lt;&gt;"",LEFT(E53,LEN(LEFT(D53,FIND(" ·",D53&amp;" ·")-1))+1)&lt;&gt;LEFT(D53,FIND(" ·",D53&amp;" ·")-1)&amp;"."),"⚠ Sous-phase hors phase",IF(AND(I53&lt;&gt;"",IFERROR(OR(I53&lt;INDEX('07 Phases'!$F$9:$F$38,MATCH(D53,'07 Phases'!$B$9:$B$38,0)),I53&gt;INDEX('07 Phases'!$G$9:$G$38,MATCH(D53,'07 Phases'!$B$9:$B$38,0))),FALSE)),"◔ Date hors période de la phase","✓"))))</f>
      </c>
    </row>
    <row r="54" ht="21" customHeight="1" spans="2:11" x14ac:dyDescent="0.25">
      <c r="B54" s="47">
        <f>IF(C54="","","J"&amp;TEXT(ROW()-8,"00"))</f>
      </c>
      <c r="C54" s="46"/>
      <c r="D54" s="46"/>
      <c r="E54" s="46"/>
      <c r="F54" s="46"/>
      <c r="G54" s="46"/>
      <c r="H54" s="46"/>
      <c r="I54" s="49"/>
      <c r="J54" s="49"/>
      <c r="K54" s="48">
        <f>IF(C54="","",IF(D54="","⚠ Phase manquante",IF(AND(E54&lt;&gt;"",LEFT(E54,LEN(LEFT(D54,FIND(" ·",D54&amp;" ·")-1))+1)&lt;&gt;LEFT(D54,FIND(" ·",D54&amp;" ·")-1)&amp;"."),"⚠ Sous-phase hors phase",IF(AND(I54&lt;&gt;"",IFERROR(OR(I54&lt;INDEX('07 Phases'!$F$9:$F$38,MATCH(D54,'07 Phases'!$B$9:$B$38,0)),I54&gt;INDEX('07 Phases'!$G$9:$G$38,MATCH(D54,'07 Phases'!$B$9:$B$38,0))),FALSE)),"◔ Date hors période de la phase","✓"))))</f>
      </c>
    </row>
    <row r="55" ht="21" customHeight="1" spans="2:11" x14ac:dyDescent="0.25">
      <c r="B55" s="47">
        <f>IF(C55="","","J"&amp;TEXT(ROW()-8,"00"))</f>
      </c>
      <c r="C55" s="46"/>
      <c r="D55" s="46"/>
      <c r="E55" s="46"/>
      <c r="F55" s="46"/>
      <c r="G55" s="46"/>
      <c r="H55" s="46"/>
      <c r="I55" s="49"/>
      <c r="J55" s="49"/>
      <c r="K55" s="48">
        <f>IF(C55="","",IF(D55="","⚠ Phase manquante",IF(AND(E55&lt;&gt;"",LEFT(E55,LEN(LEFT(D55,FIND(" ·",D55&amp;" ·")-1))+1)&lt;&gt;LEFT(D55,FIND(" ·",D55&amp;" ·")-1)&amp;"."),"⚠ Sous-phase hors phase",IF(AND(I55&lt;&gt;"",IFERROR(OR(I55&lt;INDEX('07 Phases'!$F$9:$F$38,MATCH(D55,'07 Phases'!$B$9:$B$38,0)),I55&gt;INDEX('07 Phases'!$G$9:$G$38,MATCH(D55,'07 Phases'!$B$9:$B$38,0))),FALSE)),"◔ Date hors période de la phase","✓"))))</f>
      </c>
    </row>
    <row r="56" ht="21" customHeight="1" spans="2:11" x14ac:dyDescent="0.25">
      <c r="B56" s="47">
        <f>IF(C56="","","J"&amp;TEXT(ROW()-8,"00"))</f>
      </c>
      <c r="C56" s="46"/>
      <c r="D56" s="46"/>
      <c r="E56" s="46"/>
      <c r="F56" s="46"/>
      <c r="G56" s="46"/>
      <c r="H56" s="46"/>
      <c r="I56" s="49"/>
      <c r="J56" s="49"/>
      <c r="K56" s="48">
        <f>IF(C56="","",IF(D56="","⚠ Phase manquante",IF(AND(E56&lt;&gt;"",LEFT(E56,LEN(LEFT(D56,FIND(" ·",D56&amp;" ·")-1))+1)&lt;&gt;LEFT(D56,FIND(" ·",D56&amp;" ·")-1)&amp;"."),"⚠ Sous-phase hors phase",IF(AND(I56&lt;&gt;"",IFERROR(OR(I56&lt;INDEX('07 Phases'!$F$9:$F$38,MATCH(D56,'07 Phases'!$B$9:$B$38,0)),I56&gt;INDEX('07 Phases'!$G$9:$G$38,MATCH(D56,'07 Phases'!$B$9:$B$38,0))),FALSE)),"◔ Date hors période de la phase","✓"))))</f>
      </c>
    </row>
    <row r="57" ht="21" customHeight="1" spans="2:11" x14ac:dyDescent="0.25">
      <c r="B57" s="47">
        <f>IF(C57="","","J"&amp;TEXT(ROW()-8,"00"))</f>
      </c>
      <c r="C57" s="46"/>
      <c r="D57" s="46"/>
      <c r="E57" s="46"/>
      <c r="F57" s="46"/>
      <c r="G57" s="46"/>
      <c r="H57" s="46"/>
      <c r="I57" s="49"/>
      <c r="J57" s="49"/>
      <c r="K57" s="48">
        <f>IF(C57="","",IF(D57="","⚠ Phase manquante",IF(AND(E57&lt;&gt;"",LEFT(E57,LEN(LEFT(D57,FIND(" ·",D57&amp;" ·")-1))+1)&lt;&gt;LEFT(D57,FIND(" ·",D57&amp;" ·")-1)&amp;"."),"⚠ Sous-phase hors phase",IF(AND(I57&lt;&gt;"",IFERROR(OR(I57&lt;INDEX('07 Phases'!$F$9:$F$38,MATCH(D57,'07 Phases'!$B$9:$B$38,0)),I57&gt;INDEX('07 Phases'!$G$9:$G$38,MATCH(D57,'07 Phases'!$B$9:$B$38,0))),FALSE)),"◔ Date hors période de la phase","✓"))))</f>
      </c>
    </row>
    <row r="58" ht="21" customHeight="1" spans="2:11" x14ac:dyDescent="0.25">
      <c r="B58" s="47">
        <f>IF(C58="","","J"&amp;TEXT(ROW()-8,"00"))</f>
      </c>
      <c r="C58" s="46"/>
      <c r="D58" s="46"/>
      <c r="E58" s="46"/>
      <c r="F58" s="46"/>
      <c r="G58" s="46"/>
      <c r="H58" s="46"/>
      <c r="I58" s="49"/>
      <c r="J58" s="49"/>
      <c r="K58" s="48">
        <f>IF(C58="","",IF(D58="","⚠ Phase manquante",IF(AND(E58&lt;&gt;"",LEFT(E58,LEN(LEFT(D58,FIND(" ·",D58&amp;" ·")-1))+1)&lt;&gt;LEFT(D58,FIND(" ·",D58&amp;" ·")-1)&amp;"."),"⚠ Sous-phase hors phase",IF(AND(I58&lt;&gt;"",IFERROR(OR(I58&lt;INDEX('07 Phases'!$F$9:$F$38,MATCH(D58,'07 Phases'!$B$9:$B$38,0)),I58&gt;INDEX('07 Phases'!$G$9:$G$38,MATCH(D58,'07 Phases'!$B$9:$B$38,0))),FALSE)),"◔ Date hors période de la phase","✓"))))</f>
      </c>
    </row>
    <row r="59" ht="21" customHeight="1" spans="2:11" x14ac:dyDescent="0.25">
      <c r="B59" s="47">
        <f>IF(C59="","","J"&amp;TEXT(ROW()-8,"00"))</f>
      </c>
      <c r="C59" s="46"/>
      <c r="D59" s="46"/>
      <c r="E59" s="46"/>
      <c r="F59" s="46"/>
      <c r="G59" s="46"/>
      <c r="H59" s="46"/>
      <c r="I59" s="49"/>
      <c r="J59" s="49"/>
      <c r="K59" s="48">
        <f>IF(C59="","",IF(D59="","⚠ Phase manquante",IF(AND(E59&lt;&gt;"",LEFT(E59,LEN(LEFT(D59,FIND(" ·",D59&amp;" ·")-1))+1)&lt;&gt;LEFT(D59,FIND(" ·",D59&amp;" ·")-1)&amp;"."),"⚠ Sous-phase hors phase",IF(AND(I59&lt;&gt;"",IFERROR(OR(I59&lt;INDEX('07 Phases'!$F$9:$F$38,MATCH(D59,'07 Phases'!$B$9:$B$38,0)),I59&gt;INDEX('07 Phases'!$G$9:$G$38,MATCH(D59,'07 Phases'!$B$9:$B$38,0))),FALSE)),"◔ Date hors période de la phase","✓"))))</f>
      </c>
    </row>
    <row r="60" ht="21" customHeight="1" spans="2:11" x14ac:dyDescent="0.25">
      <c r="B60" s="47">
        <f>IF(C60="","","J"&amp;TEXT(ROW()-8,"00"))</f>
      </c>
      <c r="C60" s="46"/>
      <c r="D60" s="46"/>
      <c r="E60" s="46"/>
      <c r="F60" s="46"/>
      <c r="G60" s="46"/>
      <c r="H60" s="46"/>
      <c r="I60" s="49"/>
      <c r="J60" s="49"/>
      <c r="K60" s="48">
        <f>IF(C60="","",IF(D60="","⚠ Phase manquante",IF(AND(E60&lt;&gt;"",LEFT(E60,LEN(LEFT(D60,FIND(" ·",D60&amp;" ·")-1))+1)&lt;&gt;LEFT(D60,FIND(" ·",D60&amp;" ·")-1)&amp;"."),"⚠ Sous-phase hors phase",IF(AND(I60&lt;&gt;"",IFERROR(OR(I60&lt;INDEX('07 Phases'!$F$9:$F$38,MATCH(D60,'07 Phases'!$B$9:$B$38,0)),I60&gt;INDEX('07 Phases'!$G$9:$G$38,MATCH(D60,'07 Phases'!$B$9:$B$38,0))),FALSE)),"◔ Date hors période de la phase","✓"))))</f>
      </c>
    </row>
    <row r="61" ht="21" customHeight="1" spans="2:11" x14ac:dyDescent="0.25">
      <c r="B61" s="47">
        <f>IF(C61="","","J"&amp;TEXT(ROW()-8,"00"))</f>
      </c>
      <c r="C61" s="46"/>
      <c r="D61" s="46"/>
      <c r="E61" s="46"/>
      <c r="F61" s="46"/>
      <c r="G61" s="46"/>
      <c r="H61" s="46"/>
      <c r="I61" s="49"/>
      <c r="J61" s="49"/>
      <c r="K61" s="48">
        <f>IF(C61="","",IF(D61="","⚠ Phase manquante",IF(AND(E61&lt;&gt;"",LEFT(E61,LEN(LEFT(D61,FIND(" ·",D61&amp;" ·")-1))+1)&lt;&gt;LEFT(D61,FIND(" ·",D61&amp;" ·")-1)&amp;"."),"⚠ Sous-phase hors phase",IF(AND(I61&lt;&gt;"",IFERROR(OR(I61&lt;INDEX('07 Phases'!$F$9:$F$38,MATCH(D61,'07 Phases'!$B$9:$B$38,0)),I61&gt;INDEX('07 Phases'!$G$9:$G$38,MATCH(D61,'07 Phases'!$B$9:$B$38,0))),FALSE)),"◔ Date hors période de la phase","✓"))))</f>
      </c>
    </row>
    <row r="62" ht="21" customHeight="1" spans="2:11" x14ac:dyDescent="0.25">
      <c r="B62" s="47">
        <f>IF(C62="","","J"&amp;TEXT(ROW()-8,"00"))</f>
      </c>
      <c r="C62" s="46"/>
      <c r="D62" s="46"/>
      <c r="E62" s="46"/>
      <c r="F62" s="46"/>
      <c r="G62" s="46"/>
      <c r="H62" s="46"/>
      <c r="I62" s="49"/>
      <c r="J62" s="49"/>
      <c r="K62" s="48">
        <f>IF(C62="","",IF(D62="","⚠ Phase manquante",IF(AND(E62&lt;&gt;"",LEFT(E62,LEN(LEFT(D62,FIND(" ·",D62&amp;" ·")-1))+1)&lt;&gt;LEFT(D62,FIND(" ·",D62&amp;" ·")-1)&amp;"."),"⚠ Sous-phase hors phase",IF(AND(I62&lt;&gt;"",IFERROR(OR(I62&lt;INDEX('07 Phases'!$F$9:$F$38,MATCH(D62,'07 Phases'!$B$9:$B$38,0)),I62&gt;INDEX('07 Phases'!$G$9:$G$38,MATCH(D62,'07 Phases'!$B$9:$B$38,0))),FALSE)),"◔ Date hors période de la phase","✓"))))</f>
      </c>
    </row>
    <row r="63" ht="21" customHeight="1" spans="2:11" x14ac:dyDescent="0.25">
      <c r="B63" s="47">
        <f>IF(C63="","","J"&amp;TEXT(ROW()-8,"00"))</f>
      </c>
      <c r="C63" s="46"/>
      <c r="D63" s="46"/>
      <c r="E63" s="46"/>
      <c r="F63" s="46"/>
      <c r="G63" s="46"/>
      <c r="H63" s="46"/>
      <c r="I63" s="49"/>
      <c r="J63" s="49"/>
      <c r="K63" s="48">
        <f>IF(C63="","",IF(D63="","⚠ Phase manquante",IF(AND(E63&lt;&gt;"",LEFT(E63,LEN(LEFT(D63,FIND(" ·",D63&amp;" ·")-1))+1)&lt;&gt;LEFT(D63,FIND(" ·",D63&amp;" ·")-1)&amp;"."),"⚠ Sous-phase hors phase",IF(AND(I63&lt;&gt;"",IFERROR(OR(I63&lt;INDEX('07 Phases'!$F$9:$F$38,MATCH(D63,'07 Phases'!$B$9:$B$38,0)),I63&gt;INDEX('07 Phases'!$G$9:$G$38,MATCH(D63,'07 Phases'!$B$9:$B$38,0))),FALSE)),"◔ Date hors période de la phase","✓"))))</f>
      </c>
    </row>
    <row r="64" ht="21" customHeight="1" spans="2:11" x14ac:dyDescent="0.25">
      <c r="B64" s="47">
        <f>IF(C64="","","J"&amp;TEXT(ROW()-8,"00"))</f>
      </c>
      <c r="C64" s="46"/>
      <c r="D64" s="46"/>
      <c r="E64" s="46"/>
      <c r="F64" s="46"/>
      <c r="G64" s="46"/>
      <c r="H64" s="46"/>
      <c r="I64" s="49"/>
      <c r="J64" s="49"/>
      <c r="K64" s="48">
        <f>IF(C64="","",IF(D64="","⚠ Phase manquante",IF(AND(E64&lt;&gt;"",LEFT(E64,LEN(LEFT(D64,FIND(" ·",D64&amp;" ·")-1))+1)&lt;&gt;LEFT(D64,FIND(" ·",D64&amp;" ·")-1)&amp;"."),"⚠ Sous-phase hors phase",IF(AND(I64&lt;&gt;"",IFERROR(OR(I64&lt;INDEX('07 Phases'!$F$9:$F$38,MATCH(D64,'07 Phases'!$B$9:$B$38,0)),I64&gt;INDEX('07 Phases'!$G$9:$G$38,MATCH(D64,'07 Phases'!$B$9:$B$38,0))),FALSE)),"◔ Date hors période de la phase","✓"))))</f>
      </c>
    </row>
    <row r="65" ht="21" customHeight="1" spans="2:11" x14ac:dyDescent="0.25">
      <c r="B65" s="47">
        <f>IF(C65="","","J"&amp;TEXT(ROW()-8,"00"))</f>
      </c>
      <c r="C65" s="46"/>
      <c r="D65" s="46"/>
      <c r="E65" s="46"/>
      <c r="F65" s="46"/>
      <c r="G65" s="46"/>
      <c r="H65" s="46"/>
      <c r="I65" s="49"/>
      <c r="J65" s="49"/>
      <c r="K65" s="48">
        <f>IF(C65="","",IF(D65="","⚠ Phase manquante",IF(AND(E65&lt;&gt;"",LEFT(E65,LEN(LEFT(D65,FIND(" ·",D65&amp;" ·")-1))+1)&lt;&gt;LEFT(D65,FIND(" ·",D65&amp;" ·")-1)&amp;"."),"⚠ Sous-phase hors phase",IF(AND(I65&lt;&gt;"",IFERROR(OR(I65&lt;INDEX('07 Phases'!$F$9:$F$38,MATCH(D65,'07 Phases'!$B$9:$B$38,0)),I65&gt;INDEX('07 Phases'!$G$9:$G$38,MATCH(D65,'07 Phases'!$B$9:$B$38,0))),FALSE)),"◔ Date hors période de la phase","✓"))))</f>
      </c>
    </row>
    <row r="66" ht="21" customHeight="1" spans="2:11" x14ac:dyDescent="0.25">
      <c r="B66" s="47">
        <f>IF(C66="","","J"&amp;TEXT(ROW()-8,"00"))</f>
      </c>
      <c r="C66" s="46"/>
      <c r="D66" s="46"/>
      <c r="E66" s="46"/>
      <c r="F66" s="46"/>
      <c r="G66" s="46"/>
      <c r="H66" s="46"/>
      <c r="I66" s="49"/>
      <c r="J66" s="49"/>
      <c r="K66" s="48">
        <f>IF(C66="","",IF(D66="","⚠ Phase manquante",IF(AND(E66&lt;&gt;"",LEFT(E66,LEN(LEFT(D66,FIND(" ·",D66&amp;" ·")-1))+1)&lt;&gt;LEFT(D66,FIND(" ·",D66&amp;" ·")-1)&amp;"."),"⚠ Sous-phase hors phase",IF(AND(I66&lt;&gt;"",IFERROR(OR(I66&lt;INDEX('07 Phases'!$F$9:$F$38,MATCH(D66,'07 Phases'!$B$9:$B$38,0)),I66&gt;INDEX('07 Phases'!$G$9:$G$38,MATCH(D66,'07 Phases'!$B$9:$B$38,0))),FALSE)),"◔ Date hors période de la phase","✓"))))</f>
      </c>
    </row>
    <row r="67" ht="21" customHeight="1" spans="2:11" x14ac:dyDescent="0.25">
      <c r="B67" s="47">
        <f>IF(C67="","","J"&amp;TEXT(ROW()-8,"00"))</f>
      </c>
      <c r="C67" s="46"/>
      <c r="D67" s="46"/>
      <c r="E67" s="46"/>
      <c r="F67" s="46"/>
      <c r="G67" s="46"/>
      <c r="H67" s="46"/>
      <c r="I67" s="49"/>
      <c r="J67" s="49"/>
      <c r="K67" s="48">
        <f>IF(C67="","",IF(D67="","⚠ Phase manquante",IF(AND(E67&lt;&gt;"",LEFT(E67,LEN(LEFT(D67,FIND(" ·",D67&amp;" ·")-1))+1)&lt;&gt;LEFT(D67,FIND(" ·",D67&amp;" ·")-1)&amp;"."),"⚠ Sous-phase hors phase",IF(AND(I67&lt;&gt;"",IFERROR(OR(I67&lt;INDEX('07 Phases'!$F$9:$F$38,MATCH(D67,'07 Phases'!$B$9:$B$38,0)),I67&gt;INDEX('07 Phases'!$G$9:$G$38,MATCH(D67,'07 Phases'!$B$9:$B$38,0))),FALSE)),"◔ Date hors période de la phase","✓"))))</f>
      </c>
    </row>
    <row r="68" ht="21" customHeight="1" spans="2:11" x14ac:dyDescent="0.25">
      <c r="B68" s="47">
        <f>IF(C68="","","J"&amp;TEXT(ROW()-8,"00"))</f>
      </c>
      <c r="C68" s="46"/>
      <c r="D68" s="46"/>
      <c r="E68" s="46"/>
      <c r="F68" s="46"/>
      <c r="G68" s="46"/>
      <c r="H68" s="46"/>
      <c r="I68" s="49"/>
      <c r="J68" s="49"/>
      <c r="K68" s="48">
        <f>IF(C68="","",IF(D68="","⚠ Phase manquante",IF(AND(E68&lt;&gt;"",LEFT(E68,LEN(LEFT(D68,FIND(" ·",D68&amp;" ·")-1))+1)&lt;&gt;LEFT(D68,FIND(" ·",D68&amp;" ·")-1)&amp;"."),"⚠ Sous-phase hors phase",IF(AND(I68&lt;&gt;"",IFERROR(OR(I68&lt;INDEX('07 Phases'!$F$9:$F$38,MATCH(D68,'07 Phases'!$B$9:$B$38,0)),I68&gt;INDEX('07 Phases'!$G$9:$G$38,MATCH(D68,'07 Phases'!$B$9:$B$38,0))),FALSE)),"◔ Date hors période de la phase","✓"))))</f>
      </c>
    </row>
    <row r="69" ht="21" customHeight="1" spans="2:11" x14ac:dyDescent="0.25">
      <c r="B69" s="47">
        <f>IF(C69="","","J"&amp;TEXT(ROW()-8,"00"))</f>
      </c>
      <c r="C69" s="46"/>
      <c r="D69" s="46"/>
      <c r="E69" s="46"/>
      <c r="F69" s="46"/>
      <c r="G69" s="46"/>
      <c r="H69" s="46"/>
      <c r="I69" s="49"/>
      <c r="J69" s="49"/>
      <c r="K69" s="48">
        <f>IF(C69="","",IF(D69="","⚠ Phase manquante",IF(AND(E69&lt;&gt;"",LEFT(E69,LEN(LEFT(D69,FIND(" ·",D69&amp;" ·")-1))+1)&lt;&gt;LEFT(D69,FIND(" ·",D69&amp;" ·")-1)&amp;"."),"⚠ Sous-phase hors phase",IF(AND(I69&lt;&gt;"",IFERROR(OR(I69&lt;INDEX('07 Phases'!$F$9:$F$38,MATCH(D69,'07 Phases'!$B$9:$B$38,0)),I69&gt;INDEX('07 Phases'!$G$9:$G$38,MATCH(D69,'07 Phases'!$B$9:$B$38,0))),FALSE)),"◔ Date hors période de la phase","✓"))))</f>
      </c>
    </row>
    <row r="70" ht="21" customHeight="1" spans="2:11" x14ac:dyDescent="0.25">
      <c r="B70" s="47">
        <f>IF(C70="","","J"&amp;TEXT(ROW()-8,"00"))</f>
      </c>
      <c r="C70" s="46"/>
      <c r="D70" s="46"/>
      <c r="E70" s="46"/>
      <c r="F70" s="46"/>
      <c r="G70" s="46"/>
      <c r="H70" s="46"/>
      <c r="I70" s="49"/>
      <c r="J70" s="49"/>
      <c r="K70" s="48">
        <f>IF(C70="","",IF(D70="","⚠ Phase manquante",IF(AND(E70&lt;&gt;"",LEFT(E70,LEN(LEFT(D70,FIND(" ·",D70&amp;" ·")-1))+1)&lt;&gt;LEFT(D70,FIND(" ·",D70&amp;" ·")-1)&amp;"."),"⚠ Sous-phase hors phase",IF(AND(I70&lt;&gt;"",IFERROR(OR(I70&lt;INDEX('07 Phases'!$F$9:$F$38,MATCH(D70,'07 Phases'!$B$9:$B$38,0)),I70&gt;INDEX('07 Phases'!$G$9:$G$38,MATCH(D70,'07 Phases'!$B$9:$B$38,0))),FALSE)),"◔ Date hors période de la phase","✓"))))</f>
      </c>
    </row>
    <row r="71" ht="21" customHeight="1" spans="2:11" x14ac:dyDescent="0.25">
      <c r="B71" s="47">
        <f>IF(C71="","","J"&amp;TEXT(ROW()-8,"00"))</f>
      </c>
      <c r="C71" s="46"/>
      <c r="D71" s="46"/>
      <c r="E71" s="46"/>
      <c r="F71" s="46"/>
      <c r="G71" s="46"/>
      <c r="H71" s="46"/>
      <c r="I71" s="49"/>
      <c r="J71" s="49"/>
      <c r="K71" s="48">
        <f>IF(C71="","",IF(D71="","⚠ Phase manquante",IF(AND(E71&lt;&gt;"",LEFT(E71,LEN(LEFT(D71,FIND(" ·",D71&amp;" ·")-1))+1)&lt;&gt;LEFT(D71,FIND(" ·",D71&amp;" ·")-1)&amp;"."),"⚠ Sous-phase hors phase",IF(AND(I71&lt;&gt;"",IFERROR(OR(I71&lt;INDEX('07 Phases'!$F$9:$F$38,MATCH(D71,'07 Phases'!$B$9:$B$38,0)),I71&gt;INDEX('07 Phases'!$G$9:$G$38,MATCH(D71,'07 Phases'!$B$9:$B$38,0))),FALSE)),"◔ Date hors période de la phase","✓"))))</f>
      </c>
    </row>
    <row r="72" ht="21" customHeight="1" spans="2:11" x14ac:dyDescent="0.25">
      <c r="B72" s="47">
        <f>IF(C72="","","J"&amp;TEXT(ROW()-8,"00"))</f>
      </c>
      <c r="C72" s="46"/>
      <c r="D72" s="46"/>
      <c r="E72" s="46"/>
      <c r="F72" s="46"/>
      <c r="G72" s="46"/>
      <c r="H72" s="46"/>
      <c r="I72" s="49"/>
      <c r="J72" s="49"/>
      <c r="K72" s="48">
        <f>IF(C72="","",IF(D72="","⚠ Phase manquante",IF(AND(E72&lt;&gt;"",LEFT(E72,LEN(LEFT(D72,FIND(" ·",D72&amp;" ·")-1))+1)&lt;&gt;LEFT(D72,FIND(" ·",D72&amp;" ·")-1)&amp;"."),"⚠ Sous-phase hors phase",IF(AND(I72&lt;&gt;"",IFERROR(OR(I72&lt;INDEX('07 Phases'!$F$9:$F$38,MATCH(D72,'07 Phases'!$B$9:$B$38,0)),I72&gt;INDEX('07 Phases'!$G$9:$G$38,MATCH(D72,'07 Phases'!$B$9:$B$38,0))),FALSE)),"◔ Date hors période de la phase","✓"))))</f>
      </c>
    </row>
    <row r="73" ht="21" customHeight="1" spans="2:11" x14ac:dyDescent="0.25">
      <c r="B73" s="47">
        <f>IF(C73="","","J"&amp;TEXT(ROW()-8,"00"))</f>
      </c>
      <c r="C73" s="46"/>
      <c r="D73" s="46"/>
      <c r="E73" s="46"/>
      <c r="F73" s="46"/>
      <c r="G73" s="46"/>
      <c r="H73" s="46"/>
      <c r="I73" s="49"/>
      <c r="J73" s="49"/>
      <c r="K73" s="48">
        <f>IF(C73="","",IF(D73="","⚠ Phase manquante",IF(AND(E73&lt;&gt;"",LEFT(E73,LEN(LEFT(D73,FIND(" ·",D73&amp;" ·")-1))+1)&lt;&gt;LEFT(D73,FIND(" ·",D73&amp;" ·")-1)&amp;"."),"⚠ Sous-phase hors phase",IF(AND(I73&lt;&gt;"",IFERROR(OR(I73&lt;INDEX('07 Phases'!$F$9:$F$38,MATCH(D73,'07 Phases'!$B$9:$B$38,0)),I73&gt;INDEX('07 Phases'!$G$9:$G$38,MATCH(D73,'07 Phases'!$B$9:$B$38,0))),FALSE)),"◔ Date hors période de la phase","✓"))))</f>
      </c>
    </row>
    <row r="74" ht="21" customHeight="1" spans="2:11" x14ac:dyDescent="0.25">
      <c r="B74" s="47">
        <f>IF(C74="","","J"&amp;TEXT(ROW()-8,"00"))</f>
      </c>
      <c r="C74" s="46"/>
      <c r="D74" s="46"/>
      <c r="E74" s="46"/>
      <c r="F74" s="46"/>
      <c r="G74" s="46"/>
      <c r="H74" s="46"/>
      <c r="I74" s="49"/>
      <c r="J74" s="49"/>
      <c r="K74" s="48">
        <f>IF(C74="","",IF(D74="","⚠ Phase manquante",IF(AND(E74&lt;&gt;"",LEFT(E74,LEN(LEFT(D74,FIND(" ·",D74&amp;" ·")-1))+1)&lt;&gt;LEFT(D74,FIND(" ·",D74&amp;" ·")-1)&amp;"."),"⚠ Sous-phase hors phase",IF(AND(I74&lt;&gt;"",IFERROR(OR(I74&lt;INDEX('07 Phases'!$F$9:$F$38,MATCH(D74,'07 Phases'!$B$9:$B$38,0)),I74&gt;INDEX('07 Phases'!$G$9:$G$38,MATCH(D74,'07 Phases'!$B$9:$B$38,0))),FALSE)),"◔ Date hors période de la phase","✓"))))</f>
      </c>
    </row>
    <row r="75" ht="21" customHeight="1" spans="2:11" x14ac:dyDescent="0.25">
      <c r="B75" s="47">
        <f>IF(C75="","","J"&amp;TEXT(ROW()-8,"00"))</f>
      </c>
      <c r="C75" s="46"/>
      <c r="D75" s="46"/>
      <c r="E75" s="46"/>
      <c r="F75" s="46"/>
      <c r="G75" s="46"/>
      <c r="H75" s="46"/>
      <c r="I75" s="49"/>
      <c r="J75" s="49"/>
      <c r="K75" s="48">
        <f>IF(C75="","",IF(D75="","⚠ Phase manquante",IF(AND(E75&lt;&gt;"",LEFT(E75,LEN(LEFT(D75,FIND(" ·",D75&amp;" ·")-1))+1)&lt;&gt;LEFT(D75,FIND(" ·",D75&amp;" ·")-1)&amp;"."),"⚠ Sous-phase hors phase",IF(AND(I75&lt;&gt;"",IFERROR(OR(I75&lt;INDEX('07 Phases'!$F$9:$F$38,MATCH(D75,'07 Phases'!$B$9:$B$38,0)),I75&gt;INDEX('07 Phases'!$G$9:$G$38,MATCH(D75,'07 Phases'!$B$9:$B$38,0))),FALSE)),"◔ Date hors période de la phase","✓"))))</f>
      </c>
    </row>
    <row r="76" ht="21" customHeight="1" spans="2:11" x14ac:dyDescent="0.25">
      <c r="B76" s="47">
        <f>IF(C76="","","J"&amp;TEXT(ROW()-8,"00"))</f>
      </c>
      <c r="C76" s="46"/>
      <c r="D76" s="46"/>
      <c r="E76" s="46"/>
      <c r="F76" s="46"/>
      <c r="G76" s="46"/>
      <c r="H76" s="46"/>
      <c r="I76" s="49"/>
      <c r="J76" s="49"/>
      <c r="K76" s="48">
        <f>IF(C76="","",IF(D76="","⚠ Phase manquante",IF(AND(E76&lt;&gt;"",LEFT(E76,LEN(LEFT(D76,FIND(" ·",D76&amp;" ·")-1))+1)&lt;&gt;LEFT(D76,FIND(" ·",D76&amp;" ·")-1)&amp;"."),"⚠ Sous-phase hors phase",IF(AND(I76&lt;&gt;"",IFERROR(OR(I76&lt;INDEX('07 Phases'!$F$9:$F$38,MATCH(D76,'07 Phases'!$B$9:$B$38,0)),I76&gt;INDEX('07 Phases'!$G$9:$G$38,MATCH(D76,'07 Phases'!$B$9:$B$38,0))),FALSE)),"◔ Date hors période de la phase","✓"))))</f>
      </c>
    </row>
    <row r="77" ht="21" customHeight="1" spans="2:11" x14ac:dyDescent="0.25">
      <c r="B77" s="47">
        <f>IF(C77="","","J"&amp;TEXT(ROW()-8,"00"))</f>
      </c>
      <c r="C77" s="46"/>
      <c r="D77" s="46"/>
      <c r="E77" s="46"/>
      <c r="F77" s="46"/>
      <c r="G77" s="46"/>
      <c r="H77" s="46"/>
      <c r="I77" s="49"/>
      <c r="J77" s="49"/>
      <c r="K77" s="48">
        <f>IF(C77="","",IF(D77="","⚠ Phase manquante",IF(AND(E77&lt;&gt;"",LEFT(E77,LEN(LEFT(D77,FIND(" ·",D77&amp;" ·")-1))+1)&lt;&gt;LEFT(D77,FIND(" ·",D77&amp;" ·")-1)&amp;"."),"⚠ Sous-phase hors phase",IF(AND(I77&lt;&gt;"",IFERROR(OR(I77&lt;INDEX('07 Phases'!$F$9:$F$38,MATCH(D77,'07 Phases'!$B$9:$B$38,0)),I77&gt;INDEX('07 Phases'!$G$9:$G$38,MATCH(D77,'07 Phases'!$B$9:$B$38,0))),FALSE)),"◔ Date hors période de la phase","✓"))))</f>
      </c>
    </row>
    <row r="78" ht="21" customHeight="1" spans="2:11" x14ac:dyDescent="0.25">
      <c r="B78" s="47">
        <f>IF(C78="","","J"&amp;TEXT(ROW()-8,"00"))</f>
      </c>
      <c r="C78" s="46"/>
      <c r="D78" s="46"/>
      <c r="E78" s="46"/>
      <c r="F78" s="46"/>
      <c r="G78" s="46"/>
      <c r="H78" s="46"/>
      <c r="I78" s="49"/>
      <c r="J78" s="49"/>
      <c r="K78" s="48">
        <f>IF(C78="","",IF(D78="","⚠ Phase manquante",IF(AND(E78&lt;&gt;"",LEFT(E78,LEN(LEFT(D78,FIND(" ·",D78&amp;" ·")-1))+1)&lt;&gt;LEFT(D78,FIND(" ·",D78&amp;" ·")-1)&amp;"."),"⚠ Sous-phase hors phase",IF(AND(I78&lt;&gt;"",IFERROR(OR(I78&lt;INDEX('07 Phases'!$F$9:$F$38,MATCH(D78,'07 Phases'!$B$9:$B$38,0)),I78&gt;INDEX('07 Phases'!$G$9:$G$38,MATCH(D78,'07 Phases'!$B$9:$B$38,0))),FALSE)),"◔ Date hors période de la phase","✓"))))</f>
      </c>
    </row>
    <row r="79" ht="21" customHeight="1" spans="2:11" x14ac:dyDescent="0.25">
      <c r="B79" s="47">
        <f>IF(C79="","","J"&amp;TEXT(ROW()-8,"00"))</f>
      </c>
      <c r="C79" s="46"/>
      <c r="D79" s="46"/>
      <c r="E79" s="46"/>
      <c r="F79" s="46"/>
      <c r="G79" s="46"/>
      <c r="H79" s="46"/>
      <c r="I79" s="49"/>
      <c r="J79" s="49"/>
      <c r="K79" s="48">
        <f>IF(C79="","",IF(D79="","⚠ Phase manquante",IF(AND(E79&lt;&gt;"",LEFT(E79,LEN(LEFT(D79,FIND(" ·",D79&amp;" ·")-1))+1)&lt;&gt;LEFT(D79,FIND(" ·",D79&amp;" ·")-1)&amp;"."),"⚠ Sous-phase hors phase",IF(AND(I79&lt;&gt;"",IFERROR(OR(I79&lt;INDEX('07 Phases'!$F$9:$F$38,MATCH(D79,'07 Phases'!$B$9:$B$38,0)),I79&gt;INDEX('07 Phases'!$G$9:$G$38,MATCH(D79,'07 Phases'!$B$9:$B$38,0))),FALSE)),"◔ Date hors période de la phase","✓"))))</f>
      </c>
    </row>
    <row r="80" ht="21" customHeight="1" spans="2:11" x14ac:dyDescent="0.25">
      <c r="B80" s="47">
        <f>IF(C80="","","J"&amp;TEXT(ROW()-8,"00"))</f>
      </c>
      <c r="C80" s="46"/>
      <c r="D80" s="46"/>
      <c r="E80" s="46"/>
      <c r="F80" s="46"/>
      <c r="G80" s="46"/>
      <c r="H80" s="46"/>
      <c r="I80" s="49"/>
      <c r="J80" s="49"/>
      <c r="K80" s="48">
        <f>IF(C80="","",IF(D80="","⚠ Phase manquante",IF(AND(E80&lt;&gt;"",LEFT(E80,LEN(LEFT(D80,FIND(" ·",D80&amp;" ·")-1))+1)&lt;&gt;LEFT(D80,FIND(" ·",D80&amp;" ·")-1)&amp;"."),"⚠ Sous-phase hors phase",IF(AND(I80&lt;&gt;"",IFERROR(OR(I80&lt;INDEX('07 Phases'!$F$9:$F$38,MATCH(D80,'07 Phases'!$B$9:$B$38,0)),I80&gt;INDEX('07 Phases'!$G$9:$G$38,MATCH(D80,'07 Phases'!$B$9:$B$38,0))),FALSE)),"◔ Date hors période de la phase","✓"))))</f>
      </c>
    </row>
    <row r="81" ht="21" customHeight="1" spans="2:11" x14ac:dyDescent="0.25">
      <c r="B81" s="47">
        <f>IF(C81="","","J"&amp;TEXT(ROW()-8,"00"))</f>
      </c>
      <c r="C81" s="46"/>
      <c r="D81" s="46"/>
      <c r="E81" s="46"/>
      <c r="F81" s="46"/>
      <c r="G81" s="46"/>
      <c r="H81" s="46"/>
      <c r="I81" s="49"/>
      <c r="J81" s="49"/>
      <c r="K81" s="48">
        <f>IF(C81="","",IF(D81="","⚠ Phase manquante",IF(AND(E81&lt;&gt;"",LEFT(E81,LEN(LEFT(D81,FIND(" ·",D81&amp;" ·")-1))+1)&lt;&gt;LEFT(D81,FIND(" ·",D81&amp;" ·")-1)&amp;"."),"⚠ Sous-phase hors phase",IF(AND(I81&lt;&gt;"",IFERROR(OR(I81&lt;INDEX('07 Phases'!$F$9:$F$38,MATCH(D81,'07 Phases'!$B$9:$B$38,0)),I81&gt;INDEX('07 Phases'!$G$9:$G$38,MATCH(D81,'07 Phases'!$B$9:$B$38,0))),FALSE)),"◔ Date hors période de la phase","✓"))))</f>
      </c>
    </row>
    <row r="82" ht="21" customHeight="1" spans="2:11" x14ac:dyDescent="0.25">
      <c r="B82" s="47">
        <f>IF(C82="","","J"&amp;TEXT(ROW()-8,"00"))</f>
      </c>
      <c r="C82" s="46"/>
      <c r="D82" s="46"/>
      <c r="E82" s="46"/>
      <c r="F82" s="46"/>
      <c r="G82" s="46"/>
      <c r="H82" s="46"/>
      <c r="I82" s="49"/>
      <c r="J82" s="49"/>
      <c r="K82" s="48">
        <f>IF(C82="","",IF(D82="","⚠ Phase manquante",IF(AND(E82&lt;&gt;"",LEFT(E82,LEN(LEFT(D82,FIND(" ·",D82&amp;" ·")-1))+1)&lt;&gt;LEFT(D82,FIND(" ·",D82&amp;" ·")-1)&amp;"."),"⚠ Sous-phase hors phase",IF(AND(I82&lt;&gt;"",IFERROR(OR(I82&lt;INDEX('07 Phases'!$F$9:$F$38,MATCH(D82,'07 Phases'!$B$9:$B$38,0)),I82&gt;INDEX('07 Phases'!$G$9:$G$38,MATCH(D82,'07 Phases'!$B$9:$B$38,0))),FALSE)),"◔ Date hors période de la phase","✓"))))</f>
      </c>
    </row>
    <row r="83" ht="21" customHeight="1" spans="2:11" x14ac:dyDescent="0.25">
      <c r="B83" s="47">
        <f>IF(C83="","","J"&amp;TEXT(ROW()-8,"00"))</f>
      </c>
      <c r="C83" s="46"/>
      <c r="D83" s="46"/>
      <c r="E83" s="46"/>
      <c r="F83" s="46"/>
      <c r="G83" s="46"/>
      <c r="H83" s="46"/>
      <c r="I83" s="49"/>
      <c r="J83" s="49"/>
      <c r="K83" s="48">
        <f>IF(C83="","",IF(D83="","⚠ Phase manquante",IF(AND(E83&lt;&gt;"",LEFT(E83,LEN(LEFT(D83,FIND(" ·",D83&amp;" ·")-1))+1)&lt;&gt;LEFT(D83,FIND(" ·",D83&amp;" ·")-1)&amp;"."),"⚠ Sous-phase hors phase",IF(AND(I83&lt;&gt;"",IFERROR(OR(I83&lt;INDEX('07 Phases'!$F$9:$F$38,MATCH(D83,'07 Phases'!$B$9:$B$38,0)),I83&gt;INDEX('07 Phases'!$G$9:$G$38,MATCH(D83,'07 Phases'!$B$9:$B$38,0))),FALSE)),"◔ Date hors période de la phase","✓"))))</f>
      </c>
    </row>
    <row r="84" ht="21" customHeight="1" spans="2:11" x14ac:dyDescent="0.25">
      <c r="B84" s="47">
        <f>IF(C84="","","J"&amp;TEXT(ROW()-8,"00"))</f>
      </c>
      <c r="C84" s="46"/>
      <c r="D84" s="46"/>
      <c r="E84" s="46"/>
      <c r="F84" s="46"/>
      <c r="G84" s="46"/>
      <c r="H84" s="46"/>
      <c r="I84" s="49"/>
      <c r="J84" s="49"/>
      <c r="K84" s="48">
        <f>IF(C84="","",IF(D84="","⚠ Phase manquante",IF(AND(E84&lt;&gt;"",LEFT(E84,LEN(LEFT(D84,FIND(" ·",D84&amp;" ·")-1))+1)&lt;&gt;LEFT(D84,FIND(" ·",D84&amp;" ·")-1)&amp;"."),"⚠ Sous-phase hors phase",IF(AND(I84&lt;&gt;"",IFERROR(OR(I84&lt;INDEX('07 Phases'!$F$9:$F$38,MATCH(D84,'07 Phases'!$B$9:$B$38,0)),I84&gt;INDEX('07 Phases'!$G$9:$G$38,MATCH(D84,'07 Phases'!$B$9:$B$38,0))),FALSE)),"◔ Date hors période de la phase","✓"))))</f>
      </c>
    </row>
    <row r="85" ht="21" customHeight="1" spans="2:11" x14ac:dyDescent="0.25">
      <c r="B85" s="47">
        <f>IF(C85="","","J"&amp;TEXT(ROW()-8,"00"))</f>
      </c>
      <c r="C85" s="46"/>
      <c r="D85" s="46"/>
      <c r="E85" s="46"/>
      <c r="F85" s="46"/>
      <c r="G85" s="46"/>
      <c r="H85" s="46"/>
      <c r="I85" s="49"/>
      <c r="J85" s="49"/>
      <c r="K85" s="48">
        <f>IF(C85="","",IF(D85="","⚠ Phase manquante",IF(AND(E85&lt;&gt;"",LEFT(E85,LEN(LEFT(D85,FIND(" ·",D85&amp;" ·")-1))+1)&lt;&gt;LEFT(D85,FIND(" ·",D85&amp;" ·")-1)&amp;"."),"⚠ Sous-phase hors phase",IF(AND(I85&lt;&gt;"",IFERROR(OR(I85&lt;INDEX('07 Phases'!$F$9:$F$38,MATCH(D85,'07 Phases'!$B$9:$B$38,0)),I85&gt;INDEX('07 Phases'!$G$9:$G$38,MATCH(D85,'07 Phases'!$B$9:$B$38,0))),FALSE)),"◔ Date hors période de la phase","✓"))))</f>
      </c>
    </row>
    <row r="86" ht="21" customHeight="1" spans="2:11" x14ac:dyDescent="0.25">
      <c r="B86" s="47">
        <f>IF(C86="","","J"&amp;TEXT(ROW()-8,"00"))</f>
      </c>
      <c r="C86" s="46"/>
      <c r="D86" s="46"/>
      <c r="E86" s="46"/>
      <c r="F86" s="46"/>
      <c r="G86" s="46"/>
      <c r="H86" s="46"/>
      <c r="I86" s="49"/>
      <c r="J86" s="49"/>
      <c r="K86" s="48">
        <f>IF(C86="","",IF(D86="","⚠ Phase manquante",IF(AND(E86&lt;&gt;"",LEFT(E86,LEN(LEFT(D86,FIND(" ·",D86&amp;" ·")-1))+1)&lt;&gt;LEFT(D86,FIND(" ·",D86&amp;" ·")-1)&amp;"."),"⚠ Sous-phase hors phase",IF(AND(I86&lt;&gt;"",IFERROR(OR(I86&lt;INDEX('07 Phases'!$F$9:$F$38,MATCH(D86,'07 Phases'!$B$9:$B$38,0)),I86&gt;INDEX('07 Phases'!$G$9:$G$38,MATCH(D86,'07 Phases'!$B$9:$B$38,0))),FALSE)),"◔ Date hors période de la phase","✓"))))</f>
      </c>
    </row>
    <row r="87" ht="21" customHeight="1" spans="2:11" x14ac:dyDescent="0.25">
      <c r="B87" s="47">
        <f>IF(C87="","","J"&amp;TEXT(ROW()-8,"00"))</f>
      </c>
      <c r="C87" s="46"/>
      <c r="D87" s="46"/>
      <c r="E87" s="46"/>
      <c r="F87" s="46"/>
      <c r="G87" s="46"/>
      <c r="H87" s="46"/>
      <c r="I87" s="49"/>
      <c r="J87" s="49"/>
      <c r="K87" s="48">
        <f>IF(C87="","",IF(D87="","⚠ Phase manquante",IF(AND(E87&lt;&gt;"",LEFT(E87,LEN(LEFT(D87,FIND(" ·",D87&amp;" ·")-1))+1)&lt;&gt;LEFT(D87,FIND(" ·",D87&amp;" ·")-1)&amp;"."),"⚠ Sous-phase hors phase",IF(AND(I87&lt;&gt;"",IFERROR(OR(I87&lt;INDEX('07 Phases'!$F$9:$F$38,MATCH(D87,'07 Phases'!$B$9:$B$38,0)),I87&gt;INDEX('07 Phases'!$G$9:$G$38,MATCH(D87,'07 Phases'!$B$9:$B$38,0))),FALSE)),"◔ Date hors période de la phase","✓"))))</f>
      </c>
    </row>
    <row r="88" ht="21" customHeight="1" spans="2:11" x14ac:dyDescent="0.25">
      <c r="B88" s="47">
        <f>IF(C88="","","J"&amp;TEXT(ROW()-8,"00"))</f>
      </c>
      <c r="C88" s="46"/>
      <c r="D88" s="46"/>
      <c r="E88" s="46"/>
      <c r="F88" s="46"/>
      <c r="G88" s="46"/>
      <c r="H88" s="46"/>
      <c r="I88" s="49"/>
      <c r="J88" s="49"/>
      <c r="K88" s="48">
        <f>IF(C88="","",IF(D88="","⚠ Phase manquante",IF(AND(E88&lt;&gt;"",LEFT(E88,LEN(LEFT(D88,FIND(" ·",D88&amp;" ·")-1))+1)&lt;&gt;LEFT(D88,FIND(" ·",D88&amp;" ·")-1)&amp;"."),"⚠ Sous-phase hors phase",IF(AND(I88&lt;&gt;"",IFERROR(OR(I88&lt;INDEX('07 Phases'!$F$9:$F$38,MATCH(D88,'07 Phases'!$B$9:$B$38,0)),I88&gt;INDEX('07 Phases'!$G$9:$G$38,MATCH(D88,'07 Phases'!$B$9:$B$38,0))),FALSE)),"◔ Date hors période de la phase","✓"))))</f>
      </c>
    </row>
    <row r="89" ht="21" customHeight="1" spans="2:11" x14ac:dyDescent="0.25">
      <c r="B89" s="47">
        <f>IF(C89="","","J"&amp;TEXT(ROW()-8,"00"))</f>
      </c>
      <c r="C89" s="46"/>
      <c r="D89" s="46"/>
      <c r="E89" s="46"/>
      <c r="F89" s="46"/>
      <c r="G89" s="46"/>
      <c r="H89" s="46"/>
      <c r="I89" s="49"/>
      <c r="J89" s="49"/>
      <c r="K89" s="48">
        <f>IF(C89="","",IF(D89="","⚠ Phase manquante",IF(AND(E89&lt;&gt;"",LEFT(E89,LEN(LEFT(D89,FIND(" ·",D89&amp;" ·")-1))+1)&lt;&gt;LEFT(D89,FIND(" ·",D89&amp;" ·")-1)&amp;"."),"⚠ Sous-phase hors phase",IF(AND(I89&lt;&gt;"",IFERROR(OR(I89&lt;INDEX('07 Phases'!$F$9:$F$38,MATCH(D89,'07 Phases'!$B$9:$B$38,0)),I89&gt;INDEX('07 Phases'!$G$9:$G$38,MATCH(D89,'07 Phases'!$B$9:$B$38,0))),FALSE)),"◔ Date hors période de la phase","✓"))))</f>
      </c>
    </row>
    <row r="90" ht="21" customHeight="1" spans="2:11" x14ac:dyDescent="0.25">
      <c r="B90" s="47">
        <f>IF(C90="","","J"&amp;TEXT(ROW()-8,"00"))</f>
      </c>
      <c r="C90" s="46"/>
      <c r="D90" s="46"/>
      <c r="E90" s="46"/>
      <c r="F90" s="46"/>
      <c r="G90" s="46"/>
      <c r="H90" s="46"/>
      <c r="I90" s="49"/>
      <c r="J90" s="49"/>
      <c r="K90" s="48">
        <f>IF(C90="","",IF(D90="","⚠ Phase manquante",IF(AND(E90&lt;&gt;"",LEFT(E90,LEN(LEFT(D90,FIND(" ·",D90&amp;" ·")-1))+1)&lt;&gt;LEFT(D90,FIND(" ·",D90&amp;" ·")-1)&amp;"."),"⚠ Sous-phase hors phase",IF(AND(I90&lt;&gt;"",IFERROR(OR(I90&lt;INDEX('07 Phases'!$F$9:$F$38,MATCH(D90,'07 Phases'!$B$9:$B$38,0)),I90&gt;INDEX('07 Phases'!$G$9:$G$38,MATCH(D90,'07 Phases'!$B$9:$B$38,0))),FALSE)),"◔ Date hors période de la phase","✓"))))</f>
      </c>
    </row>
    <row r="91" ht="21" customHeight="1" spans="2:11" x14ac:dyDescent="0.25">
      <c r="B91" s="47">
        <f>IF(C91="","","J"&amp;TEXT(ROW()-8,"00"))</f>
      </c>
      <c r="C91" s="46"/>
      <c r="D91" s="46"/>
      <c r="E91" s="46"/>
      <c r="F91" s="46"/>
      <c r="G91" s="46"/>
      <c r="H91" s="46"/>
      <c r="I91" s="49"/>
      <c r="J91" s="49"/>
      <c r="K91" s="48">
        <f>IF(C91="","",IF(D91="","⚠ Phase manquante",IF(AND(E91&lt;&gt;"",LEFT(E91,LEN(LEFT(D91,FIND(" ·",D91&amp;" ·")-1))+1)&lt;&gt;LEFT(D91,FIND(" ·",D91&amp;" ·")-1)&amp;"."),"⚠ Sous-phase hors phase",IF(AND(I91&lt;&gt;"",IFERROR(OR(I91&lt;INDEX('07 Phases'!$F$9:$F$38,MATCH(D91,'07 Phases'!$B$9:$B$38,0)),I91&gt;INDEX('07 Phases'!$G$9:$G$38,MATCH(D91,'07 Phases'!$B$9:$B$38,0))),FALSE)),"◔ Date hors période de la phase","✓"))))</f>
      </c>
    </row>
    <row r="92" ht="21" customHeight="1" spans="2:11" x14ac:dyDescent="0.25">
      <c r="B92" s="47">
        <f>IF(C92="","","J"&amp;TEXT(ROW()-8,"00"))</f>
      </c>
      <c r="C92" s="46"/>
      <c r="D92" s="46"/>
      <c r="E92" s="46"/>
      <c r="F92" s="46"/>
      <c r="G92" s="46"/>
      <c r="H92" s="46"/>
      <c r="I92" s="49"/>
      <c r="J92" s="49"/>
      <c r="K92" s="48">
        <f>IF(C92="","",IF(D92="","⚠ Phase manquante",IF(AND(E92&lt;&gt;"",LEFT(E92,LEN(LEFT(D92,FIND(" ·",D92&amp;" ·")-1))+1)&lt;&gt;LEFT(D92,FIND(" ·",D92&amp;" ·")-1)&amp;"."),"⚠ Sous-phase hors phase",IF(AND(I92&lt;&gt;"",IFERROR(OR(I92&lt;INDEX('07 Phases'!$F$9:$F$38,MATCH(D92,'07 Phases'!$B$9:$B$38,0)),I92&gt;INDEX('07 Phases'!$G$9:$G$38,MATCH(D92,'07 Phases'!$B$9:$B$38,0))),FALSE)),"◔ Date hors période de la phase","✓"))))</f>
      </c>
    </row>
    <row r="93" ht="21" customHeight="1" spans="2:11" x14ac:dyDescent="0.25">
      <c r="B93" s="47">
        <f>IF(C93="","","J"&amp;TEXT(ROW()-8,"00"))</f>
      </c>
      <c r="C93" s="46"/>
      <c r="D93" s="46"/>
      <c r="E93" s="46"/>
      <c r="F93" s="46"/>
      <c r="G93" s="46"/>
      <c r="H93" s="46"/>
      <c r="I93" s="49"/>
      <c r="J93" s="49"/>
      <c r="K93" s="48">
        <f>IF(C93="","",IF(D93="","⚠ Phase manquante",IF(AND(E93&lt;&gt;"",LEFT(E93,LEN(LEFT(D93,FIND(" ·",D93&amp;" ·")-1))+1)&lt;&gt;LEFT(D93,FIND(" ·",D93&amp;" ·")-1)&amp;"."),"⚠ Sous-phase hors phase",IF(AND(I93&lt;&gt;"",IFERROR(OR(I93&lt;INDEX('07 Phases'!$F$9:$F$38,MATCH(D93,'07 Phases'!$B$9:$B$38,0)),I93&gt;INDEX('07 Phases'!$G$9:$G$38,MATCH(D93,'07 Phases'!$B$9:$B$38,0))),FALSE)),"◔ Date hors période de la phase","✓"))))</f>
      </c>
    </row>
    <row r="94" ht="21" customHeight="1" spans="2:11" x14ac:dyDescent="0.25">
      <c r="B94" s="47">
        <f>IF(C94="","","J"&amp;TEXT(ROW()-8,"00"))</f>
      </c>
      <c r="C94" s="46"/>
      <c r="D94" s="46"/>
      <c r="E94" s="46"/>
      <c r="F94" s="46"/>
      <c r="G94" s="46"/>
      <c r="H94" s="46"/>
      <c r="I94" s="49"/>
      <c r="J94" s="49"/>
      <c r="K94" s="48">
        <f>IF(C94="","",IF(D94="","⚠ Phase manquante",IF(AND(E94&lt;&gt;"",LEFT(E94,LEN(LEFT(D94,FIND(" ·",D94&amp;" ·")-1))+1)&lt;&gt;LEFT(D94,FIND(" ·",D94&amp;" ·")-1)&amp;"."),"⚠ Sous-phase hors phase",IF(AND(I94&lt;&gt;"",IFERROR(OR(I94&lt;INDEX('07 Phases'!$F$9:$F$38,MATCH(D94,'07 Phases'!$B$9:$B$38,0)),I94&gt;INDEX('07 Phases'!$G$9:$G$38,MATCH(D94,'07 Phases'!$B$9:$B$38,0))),FALSE)),"◔ Date hors période de la phase","✓"))))</f>
      </c>
    </row>
    <row r="95" ht="21" customHeight="1" spans="2:11" x14ac:dyDescent="0.25">
      <c r="B95" s="47">
        <f>IF(C95="","","J"&amp;TEXT(ROW()-8,"00"))</f>
      </c>
      <c r="C95" s="46"/>
      <c r="D95" s="46"/>
      <c r="E95" s="46"/>
      <c r="F95" s="46"/>
      <c r="G95" s="46"/>
      <c r="H95" s="46"/>
      <c r="I95" s="49"/>
      <c r="J95" s="49"/>
      <c r="K95" s="48">
        <f>IF(C95="","",IF(D95="","⚠ Phase manquante",IF(AND(E95&lt;&gt;"",LEFT(E95,LEN(LEFT(D95,FIND(" ·",D95&amp;" ·")-1))+1)&lt;&gt;LEFT(D95,FIND(" ·",D95&amp;" ·")-1)&amp;"."),"⚠ Sous-phase hors phase",IF(AND(I95&lt;&gt;"",IFERROR(OR(I95&lt;INDEX('07 Phases'!$F$9:$F$38,MATCH(D95,'07 Phases'!$B$9:$B$38,0)),I95&gt;INDEX('07 Phases'!$G$9:$G$38,MATCH(D95,'07 Phases'!$B$9:$B$38,0))),FALSE)),"◔ Date hors période de la phase","✓"))))</f>
      </c>
    </row>
    <row r="96" ht="21" customHeight="1" spans="2:11" x14ac:dyDescent="0.25">
      <c r="B96" s="47">
        <f>IF(C96="","","J"&amp;TEXT(ROW()-8,"00"))</f>
      </c>
      <c r="C96" s="46"/>
      <c r="D96" s="46"/>
      <c r="E96" s="46"/>
      <c r="F96" s="46"/>
      <c r="G96" s="46"/>
      <c r="H96" s="46"/>
      <c r="I96" s="49"/>
      <c r="J96" s="49"/>
      <c r="K96" s="48">
        <f>IF(C96="","",IF(D96="","⚠ Phase manquante",IF(AND(E96&lt;&gt;"",LEFT(E96,LEN(LEFT(D96,FIND(" ·",D96&amp;" ·")-1))+1)&lt;&gt;LEFT(D96,FIND(" ·",D96&amp;" ·")-1)&amp;"."),"⚠ Sous-phase hors phase",IF(AND(I96&lt;&gt;"",IFERROR(OR(I96&lt;INDEX('07 Phases'!$F$9:$F$38,MATCH(D96,'07 Phases'!$B$9:$B$38,0)),I96&gt;INDEX('07 Phases'!$G$9:$G$38,MATCH(D96,'07 Phases'!$B$9:$B$38,0))),FALSE)),"◔ Date hors période de la phase","✓"))))</f>
      </c>
    </row>
    <row r="97" ht="21" customHeight="1" spans="2:11" x14ac:dyDescent="0.25">
      <c r="B97" s="47">
        <f>IF(C97="","","J"&amp;TEXT(ROW()-8,"00"))</f>
      </c>
      <c r="C97" s="46"/>
      <c r="D97" s="46"/>
      <c r="E97" s="46"/>
      <c r="F97" s="46"/>
      <c r="G97" s="46"/>
      <c r="H97" s="46"/>
      <c r="I97" s="49"/>
      <c r="J97" s="49"/>
      <c r="K97" s="48">
        <f>IF(C97="","",IF(D97="","⚠ Phase manquante",IF(AND(E97&lt;&gt;"",LEFT(E97,LEN(LEFT(D97,FIND(" ·",D97&amp;" ·")-1))+1)&lt;&gt;LEFT(D97,FIND(" ·",D97&amp;" ·")-1)&amp;"."),"⚠ Sous-phase hors phase",IF(AND(I97&lt;&gt;"",IFERROR(OR(I97&lt;INDEX('07 Phases'!$F$9:$F$38,MATCH(D97,'07 Phases'!$B$9:$B$38,0)),I97&gt;INDEX('07 Phases'!$G$9:$G$38,MATCH(D97,'07 Phases'!$B$9:$B$38,0))),FALSE)),"◔ Date hors période de la phase","✓"))))</f>
      </c>
    </row>
    <row r="98" ht="21" customHeight="1" spans="2:11" x14ac:dyDescent="0.25">
      <c r="B98" s="47">
        <f>IF(C98="","","J"&amp;TEXT(ROW()-8,"00"))</f>
      </c>
      <c r="C98" s="46"/>
      <c r="D98" s="46"/>
      <c r="E98" s="46"/>
      <c r="F98" s="46"/>
      <c r="G98" s="46"/>
      <c r="H98" s="46"/>
      <c r="I98" s="49"/>
      <c r="J98" s="49"/>
      <c r="K98" s="48">
        <f>IF(C98="","",IF(D98="","⚠ Phase manquante",IF(AND(E98&lt;&gt;"",LEFT(E98,LEN(LEFT(D98,FIND(" ·",D98&amp;" ·")-1))+1)&lt;&gt;LEFT(D98,FIND(" ·",D98&amp;" ·")-1)&amp;"."),"⚠ Sous-phase hors phase",IF(AND(I98&lt;&gt;"",IFERROR(OR(I98&lt;INDEX('07 Phases'!$F$9:$F$38,MATCH(D98,'07 Phases'!$B$9:$B$38,0)),I98&gt;INDEX('07 Phases'!$G$9:$G$38,MATCH(D98,'07 Phases'!$B$9:$B$38,0))),FALSE)),"◔ Date hors période de la phase","✓"))))</f>
      </c>
    </row>
    <row r="99" ht="21" customHeight="1" spans="2:11" x14ac:dyDescent="0.25">
      <c r="B99" s="47">
        <f>IF(C99="","","J"&amp;TEXT(ROW()-8,"00"))</f>
      </c>
      <c r="C99" s="46"/>
      <c r="D99" s="46"/>
      <c r="E99" s="46"/>
      <c r="F99" s="46"/>
      <c r="G99" s="46"/>
      <c r="H99" s="46"/>
      <c r="I99" s="49"/>
      <c r="J99" s="49"/>
      <c r="K99" s="48">
        <f>IF(C99="","",IF(D99="","⚠ Phase manquante",IF(AND(E99&lt;&gt;"",LEFT(E99,LEN(LEFT(D99,FIND(" ·",D99&amp;" ·")-1))+1)&lt;&gt;LEFT(D99,FIND(" ·",D99&amp;" ·")-1)&amp;"."),"⚠ Sous-phase hors phase",IF(AND(I99&lt;&gt;"",IFERROR(OR(I99&lt;INDEX('07 Phases'!$F$9:$F$38,MATCH(D99,'07 Phases'!$B$9:$B$38,0)),I99&gt;INDEX('07 Phases'!$G$9:$G$38,MATCH(D99,'07 Phases'!$B$9:$B$38,0))),FALSE)),"◔ Date hors période de la phase","✓"))))</f>
      </c>
    </row>
    <row r="100" ht="21" customHeight="1" spans="2:11" x14ac:dyDescent="0.25">
      <c r="B100" s="47">
        <f>IF(C100="","","J"&amp;TEXT(ROW()-8,"00"))</f>
      </c>
      <c r="C100" s="46"/>
      <c r="D100" s="46"/>
      <c r="E100" s="46"/>
      <c r="F100" s="46"/>
      <c r="G100" s="46"/>
      <c r="H100" s="46"/>
      <c r="I100" s="49"/>
      <c r="J100" s="49"/>
      <c r="K100" s="48">
        <f>IF(C100="","",IF(D100="","⚠ Phase manquante",IF(AND(E100&lt;&gt;"",LEFT(E100,LEN(LEFT(D100,FIND(" ·",D100&amp;" ·")-1))+1)&lt;&gt;LEFT(D100,FIND(" ·",D100&amp;" ·")-1)&amp;"."),"⚠ Sous-phase hors phase",IF(AND(I100&lt;&gt;"",IFERROR(OR(I100&lt;INDEX('07 Phases'!$F$9:$F$38,MATCH(D100,'07 Phases'!$B$9:$B$38,0)),I100&gt;INDEX('07 Phases'!$G$9:$G$38,MATCH(D100,'07 Phases'!$B$9:$B$38,0))),FALSE)),"◔ Date hors période de la phase","✓"))))</f>
      </c>
    </row>
    <row r="101" ht="21" customHeight="1" spans="2:11" x14ac:dyDescent="0.25">
      <c r="B101" s="47">
        <f>IF(C101="","","J"&amp;TEXT(ROW()-8,"00"))</f>
      </c>
      <c r="C101" s="46"/>
      <c r="D101" s="46"/>
      <c r="E101" s="46"/>
      <c r="F101" s="46"/>
      <c r="G101" s="46"/>
      <c r="H101" s="46"/>
      <c r="I101" s="49"/>
      <c r="J101" s="49"/>
      <c r="K101" s="48">
        <f>IF(C101="","",IF(D101="","⚠ Phase manquante",IF(AND(E101&lt;&gt;"",LEFT(E101,LEN(LEFT(D101,FIND(" ·",D101&amp;" ·")-1))+1)&lt;&gt;LEFT(D101,FIND(" ·",D101&amp;" ·")-1)&amp;"."),"⚠ Sous-phase hors phase",IF(AND(I101&lt;&gt;"",IFERROR(OR(I101&lt;INDEX('07 Phases'!$F$9:$F$38,MATCH(D101,'07 Phases'!$B$9:$B$38,0)),I101&gt;INDEX('07 Phases'!$G$9:$G$38,MATCH(D101,'07 Phases'!$B$9:$B$38,0))),FALSE)),"◔ Date hors période de la phase","✓"))))</f>
      </c>
    </row>
    <row r="102" ht="21" customHeight="1" spans="2:11" x14ac:dyDescent="0.25">
      <c r="B102" s="47">
        <f>IF(C102="","","J"&amp;TEXT(ROW()-8,"00"))</f>
      </c>
      <c r="C102" s="46"/>
      <c r="D102" s="46"/>
      <c r="E102" s="46"/>
      <c r="F102" s="46"/>
      <c r="G102" s="46"/>
      <c r="H102" s="46"/>
      <c r="I102" s="49"/>
      <c r="J102" s="49"/>
      <c r="K102" s="48">
        <f>IF(C102="","",IF(D102="","⚠ Phase manquante",IF(AND(E102&lt;&gt;"",LEFT(E102,LEN(LEFT(D102,FIND(" ·",D102&amp;" ·")-1))+1)&lt;&gt;LEFT(D102,FIND(" ·",D102&amp;" ·")-1)&amp;"."),"⚠ Sous-phase hors phase",IF(AND(I102&lt;&gt;"",IFERROR(OR(I102&lt;INDEX('07 Phases'!$F$9:$F$38,MATCH(D102,'07 Phases'!$B$9:$B$38,0)),I102&gt;INDEX('07 Phases'!$G$9:$G$38,MATCH(D102,'07 Phases'!$B$9:$B$38,0))),FALSE)),"◔ Date hors période de la phase","✓"))))</f>
      </c>
    </row>
    <row r="103" ht="21" customHeight="1" spans="2:11" x14ac:dyDescent="0.25">
      <c r="B103" s="47">
        <f>IF(C103="","","J"&amp;TEXT(ROW()-8,"00"))</f>
      </c>
      <c r="C103" s="46"/>
      <c r="D103" s="46"/>
      <c r="E103" s="46"/>
      <c r="F103" s="46"/>
      <c r="G103" s="46"/>
      <c r="H103" s="46"/>
      <c r="I103" s="49"/>
      <c r="J103" s="49"/>
      <c r="K103" s="48">
        <f>IF(C103="","",IF(D103="","⚠ Phase manquante",IF(AND(E103&lt;&gt;"",LEFT(E103,LEN(LEFT(D103,FIND(" ·",D103&amp;" ·")-1))+1)&lt;&gt;LEFT(D103,FIND(" ·",D103&amp;" ·")-1)&amp;"."),"⚠ Sous-phase hors phase",IF(AND(I103&lt;&gt;"",IFERROR(OR(I103&lt;INDEX('07 Phases'!$F$9:$F$38,MATCH(D103,'07 Phases'!$B$9:$B$38,0)),I103&gt;INDEX('07 Phases'!$G$9:$G$38,MATCH(D103,'07 Phases'!$B$9:$B$38,0))),FALSE)),"◔ Date hors période de la phase","✓"))))</f>
      </c>
    </row>
    <row r="104" ht="21" customHeight="1" spans="2:11" x14ac:dyDescent="0.25">
      <c r="B104" s="47">
        <f>IF(C104="","","J"&amp;TEXT(ROW()-8,"00"))</f>
      </c>
      <c r="C104" s="46"/>
      <c r="D104" s="46"/>
      <c r="E104" s="46"/>
      <c r="F104" s="46"/>
      <c r="G104" s="46"/>
      <c r="H104" s="46"/>
      <c r="I104" s="49"/>
      <c r="J104" s="49"/>
      <c r="K104" s="48">
        <f>IF(C104="","",IF(D104="","⚠ Phase manquante",IF(AND(E104&lt;&gt;"",LEFT(E104,LEN(LEFT(D104,FIND(" ·",D104&amp;" ·")-1))+1)&lt;&gt;LEFT(D104,FIND(" ·",D104&amp;" ·")-1)&amp;"."),"⚠ Sous-phase hors phase",IF(AND(I104&lt;&gt;"",IFERROR(OR(I104&lt;INDEX('07 Phases'!$F$9:$F$38,MATCH(D104,'07 Phases'!$B$9:$B$38,0)),I104&gt;INDEX('07 Phases'!$G$9:$G$38,MATCH(D104,'07 Phases'!$B$9:$B$38,0))),FALSE)),"◔ Date hors période de la phase","✓"))))</f>
      </c>
    </row>
    <row r="105" ht="21" customHeight="1" spans="2:11" x14ac:dyDescent="0.25">
      <c r="B105" s="47">
        <f>IF(C105="","","J"&amp;TEXT(ROW()-8,"00"))</f>
      </c>
      <c r="C105" s="46"/>
      <c r="D105" s="46"/>
      <c r="E105" s="46"/>
      <c r="F105" s="46"/>
      <c r="G105" s="46"/>
      <c r="H105" s="46"/>
      <c r="I105" s="49"/>
      <c r="J105" s="49"/>
      <c r="K105" s="48">
        <f>IF(C105="","",IF(D105="","⚠ Phase manquante",IF(AND(E105&lt;&gt;"",LEFT(E105,LEN(LEFT(D105,FIND(" ·",D105&amp;" ·")-1))+1)&lt;&gt;LEFT(D105,FIND(" ·",D105&amp;" ·")-1)&amp;"."),"⚠ Sous-phase hors phase",IF(AND(I105&lt;&gt;"",IFERROR(OR(I105&lt;INDEX('07 Phases'!$F$9:$F$38,MATCH(D105,'07 Phases'!$B$9:$B$38,0)),I105&gt;INDEX('07 Phases'!$G$9:$G$38,MATCH(D105,'07 Phases'!$B$9:$B$38,0))),FALSE)),"◔ Date hors période de la phase","✓"))))</f>
      </c>
    </row>
    <row r="106" ht="21" customHeight="1" spans="2:11" x14ac:dyDescent="0.25">
      <c r="B106" s="47">
        <f>IF(C106="","","J"&amp;TEXT(ROW()-8,"00"))</f>
      </c>
      <c r="C106" s="46"/>
      <c r="D106" s="46"/>
      <c r="E106" s="46"/>
      <c r="F106" s="46"/>
      <c r="G106" s="46"/>
      <c r="H106" s="46"/>
      <c r="I106" s="49"/>
      <c r="J106" s="49"/>
      <c r="K106" s="48">
        <f>IF(C106="","",IF(D106="","⚠ Phase manquante",IF(AND(E106&lt;&gt;"",LEFT(E106,LEN(LEFT(D106,FIND(" ·",D106&amp;" ·")-1))+1)&lt;&gt;LEFT(D106,FIND(" ·",D106&amp;" ·")-1)&amp;"."),"⚠ Sous-phase hors phase",IF(AND(I106&lt;&gt;"",IFERROR(OR(I106&lt;INDEX('07 Phases'!$F$9:$F$38,MATCH(D106,'07 Phases'!$B$9:$B$38,0)),I106&gt;INDEX('07 Phases'!$G$9:$G$38,MATCH(D106,'07 Phases'!$B$9:$B$38,0))),FALSE)),"◔ Date hors période de la phase","✓"))))</f>
      </c>
    </row>
    <row r="107" ht="21" customHeight="1" spans="2:11" x14ac:dyDescent="0.25">
      <c r="B107" s="47">
        <f>IF(C107="","","J"&amp;TEXT(ROW()-8,"00"))</f>
      </c>
      <c r="C107" s="46"/>
      <c r="D107" s="46"/>
      <c r="E107" s="46"/>
      <c r="F107" s="46"/>
      <c r="G107" s="46"/>
      <c r="H107" s="46"/>
      <c r="I107" s="49"/>
      <c r="J107" s="49"/>
      <c r="K107" s="48">
        <f>IF(C107="","",IF(D107="","⚠ Phase manquante",IF(AND(E107&lt;&gt;"",LEFT(E107,LEN(LEFT(D107,FIND(" ·",D107&amp;" ·")-1))+1)&lt;&gt;LEFT(D107,FIND(" ·",D107&amp;" ·")-1)&amp;"."),"⚠ Sous-phase hors phase",IF(AND(I107&lt;&gt;"",IFERROR(OR(I107&lt;INDEX('07 Phases'!$F$9:$F$38,MATCH(D107,'07 Phases'!$B$9:$B$38,0)),I107&gt;INDEX('07 Phases'!$G$9:$G$38,MATCH(D107,'07 Phases'!$B$9:$B$38,0))),FALSE)),"◔ Date hors période de la phase","✓"))))</f>
      </c>
    </row>
    <row r="108" ht="21" customHeight="1" spans="2:11" x14ac:dyDescent="0.25">
      <c r="B108" s="47">
        <f>IF(C108="","","J"&amp;TEXT(ROW()-8,"00"))</f>
      </c>
      <c r="C108" s="46"/>
      <c r="D108" s="46"/>
      <c r="E108" s="46"/>
      <c r="F108" s="46"/>
      <c r="G108" s="46"/>
      <c r="H108" s="46"/>
      <c r="I108" s="49"/>
      <c r="J108" s="49"/>
      <c r="K108" s="48">
        <f>IF(C108="","",IF(D108="","⚠ Phase manquante",IF(AND(E108&lt;&gt;"",LEFT(E108,LEN(LEFT(D108,FIND(" ·",D108&amp;" ·")-1))+1)&lt;&gt;LEFT(D108,FIND(" ·",D108&amp;" ·")-1)&amp;"."),"⚠ Sous-phase hors phase",IF(AND(I108&lt;&gt;"",IFERROR(OR(I108&lt;INDEX('07 Phases'!$F$9:$F$38,MATCH(D108,'07 Phases'!$B$9:$B$38,0)),I108&gt;INDEX('07 Phases'!$G$9:$G$38,MATCH(D108,'07 Phases'!$B$9:$B$38,0))),FALSE)),"◔ Date hors période de la phase","✓"))))</f>
      </c>
    </row>
  </sheetData>
  <sheetProtection sheet="1" formatColumns="0" formatRows="0" sort="0" autoFilter="0"/>
  <autoFilter ref="B8:K8"/>
  <conditionalFormatting sqref="C9:C108">
    <cfRule type="expression" dxfId="65" priority="1">
      <formula>AND(OR($C9&lt;&gt;"",$D9&lt;&gt;"",$E9&lt;&gt;"",$F9&lt;&gt;"",$G9&lt;&gt;"",$H9&lt;&gt;"",$I9&lt;&gt;"",$J9&lt;&gt;""),C9="")</formula>
    </cfRule>
  </conditionalFormatting>
  <conditionalFormatting sqref="D9:D108">
    <cfRule type="expression" dxfId="66" priority="1">
      <formula>AND(OR($C9&lt;&gt;"",$D9&lt;&gt;"",$E9&lt;&gt;"",$F9&lt;&gt;"",$G9&lt;&gt;"",$H9&lt;&gt;"",$I9&lt;&gt;"",$J9&lt;&gt;""),D9="")</formula>
    </cfRule>
  </conditionalFormatting>
  <conditionalFormatting sqref="I9:I108">
    <cfRule type="expression" dxfId="67" priority="1">
      <formula>AND(OR($C9&lt;&gt;"",$D9&lt;&gt;"",$E9&lt;&gt;"",$F9&lt;&gt;"",$G9&lt;&gt;"",$H9&lt;&gt;"",$I9&lt;&gt;"",$J9&lt;&gt;""),I9="")</formula>
    </cfRule>
  </conditionalFormatting>
  <conditionalFormatting sqref="K9:K108">
    <cfRule type="containsText" dxfId="68" priority="2">
      <formula>NOT(ISERROR(SEARCH("⚠",K9)))</formula>
    </cfRule>
    <cfRule type="containsText" dxfId="69" priority="3">
      <formula>NOT(ISERROR(SEARCH("◔",K9)))</formula>
    </cfRule>
  </conditionalFormatting>
  <dataValidations count="12">
    <dataValidation type="list" allowBlank="1" showErrorMessage="1" errorStyle="stop" errorTitle="Valeur hors liste" error="Choisissez une valeur dans la liste. Elle se remplit à partir de l’onglet correspondant." sqref="D10:D108">
      <formula1>L_Phases</formula1>
    </dataValidation>
    <dataValidation type="list" allowBlank="1" showErrorMessage="1" errorStyle="stop" errorTitle="Valeur hors liste" error="Choisissez une valeur dans la liste. Elle se remplit à partir de l’onglet correspondant." sqref="D9:D108">
      <formula1>L_Phases</formula1>
    </dataValidation>
    <dataValidation type="list" allowBlank="1" showErrorMessage="1" errorStyle="stop" errorTitle="Valeur hors liste" error="Choisissez une valeur dans la liste. Elle se remplit à partir de l’onglet correspondant." sqref="E10:E108">
      <formula1>L_SousPhases</formula1>
    </dataValidation>
    <dataValidation type="list" allowBlank="1" showErrorMessage="1" errorStyle="stop" errorTitle="Valeur hors liste" error="Choisissez une sous-phase de la phase de la colonne Phase (onglet 08 Sous-phases)." sqref="E9:E108">
      <formula1>IF($D9="",L_SousPhases,OFFSET('08 Sous-phases'!$B$9,IFERROR(MATCH(LEFT($D9,FIND(" ·",$D9&amp;" ·")-1)&amp;".*",'08 Sous-phases'!$B$9:$B$88,0)-1,0),0,MAX(1,COUNTIF('08 Sous-phases'!$B$9:$B$88,LEFT($D9,FIND(" ·",$D9&amp;" ·")-1)&amp;".*"))))</formula1>
    </dataValidation>
    <dataValidation type="list" allowBlank="1" showErrorMessage="1" errorStyle="stop" errorTitle="Valeur hors liste" error="Choisissez une valeur dans la liste. Elle se remplit à partir de l’onglet correspondant." sqref="F10:F108">
      <formula1>L_Chantiers</formula1>
    </dataValidation>
    <dataValidation type="list" allowBlank="1" showErrorMessage="1" errorStyle="stop" errorTitle="Valeur hors liste" error="Choisissez une valeur dans la liste. Elle se remplit à partir de l’onglet correspondant." sqref="F9:F108">
      <formula1>L_Chantiers</formula1>
    </dataValidation>
    <dataValidation type="list" allowBlank="1" showErrorMessage="1" errorStyle="stop" errorTitle="Valeur hors liste" error="Choisissez une valeur dans la liste. Elle se remplit à partir de l’onglet correspondant." sqref="G10:G108">
      <formula1>L_Lots</formula1>
    </dataValidation>
    <dataValidation type="list" allowBlank="1" showErrorMessage="1" errorStyle="stop" errorTitle="Valeur hors liste" error="Choisissez une valeur dans la liste. Elle se remplit à partir de l’onglet correspondant." sqref="G9:G108">
      <formula1>L_Lots</formula1>
    </dataValidation>
    <dataValidation type="list" allowBlank="1" showErrorMessage="1" errorStyle="stop" errorTitle="Valeur hors liste" error="Choisissez une valeur dans la liste. Elle se remplit à partir de l’onglet correspondant." sqref="H10:H10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H9:H108">
      <formula1>L_Personnes</formula1>
    </dataValidation>
    <dataValidation type="date" operator="greaterThan" allowBlank="1" showErrorMessage="1" errorStyle="stop" errorTitle="Date attendue" error="Saisissez une date au format JJ/MM/AAAA." sqref="I10:J108">
      <formula1>36526</formula1>
    </dataValidation>
    <dataValidation type="date" operator="greaterThan" allowBlank="1" showErrorMessage="1" errorStyle="stop" errorTitle="Date attendue" error="Saisissez une date au format JJ/MM/AAAA." sqref="I9:J108">
      <formula1>36526</formula1>
    </dataValidation>
  </dataValidations>
  <hyperlinks>
    <hyperlink ref="K3" r:id="rId1" location="#'Complétude'!A1"/>
  </hyperlinks>
  <pageMargins left="0.4" right="0.4" top="0.5" bottom="0.5" header="0.2" footer="0.2"/>
  <pageSetup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9A2D"/>
    <pageSetUpPr fitToPage="1"/>
  </sheetPr>
  <dimension ref="B1:H158"/>
  <sheetViews>
    <sheetView workbookViewId="0" showGridLines="0">
      <pane xSplit="2" ySplit="8" topLeftCell="C9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8" customWidth="1"/>
    <col min="3" max="3" width="30" customWidth="1"/>
    <col min="4" max="5" width="22" customWidth="1"/>
    <col min="6" max="7" width="13" customWidth="1"/>
    <col min="8" max="8" width="24" customWidth="1"/>
  </cols>
  <sheetData>
    <row r="1" ht="12" customHeight="1" x14ac:dyDescent="0.25"/>
    <row r="2" ht="34" customHeight="1" spans="2:8" x14ac:dyDescent="0.25">
      <c r="B2" s="1" t="s">
        <v>67</v>
      </c>
      <c r="H2" s="38">
        <f>'Complétude'!$I33</f>
      </c>
    </row>
    <row r="3" ht="18" customHeight="1" spans="2:8" x14ac:dyDescent="0.25">
      <c r="B3" s="2" t="s">
        <v>240</v>
      </c>
      <c r="H3" s="39" t="s">
        <v>156</v>
      </c>
    </row>
    <row r="4" ht="18" customHeight="1" spans="2:2" x14ac:dyDescent="0.25">
      <c r="B4" t="s">
        <v>241</v>
      </c>
    </row>
    <row r="5" ht="16" customHeight="1" spans="2:2" x14ac:dyDescent="0.25">
      <c r="B5" s="40" t="s">
        <v>242</v>
      </c>
    </row>
    <row r="6" ht="10" customHeight="1" x14ac:dyDescent="0.25"/>
    <row r="7" ht="15" customHeight="1" spans="2:8" x14ac:dyDescent="0.25">
      <c r="B7" s="41" t="s">
        <v>159</v>
      </c>
      <c r="C7" s="41" t="s">
        <v>173</v>
      </c>
      <c r="D7" s="42" t="s">
        <v>174</v>
      </c>
      <c r="E7" s="41" t="s">
        <v>173</v>
      </c>
      <c r="F7" s="42" t="s">
        <v>160</v>
      </c>
      <c r="G7" s="41" t="s">
        <v>159</v>
      </c>
      <c r="H7" s="43" t="s">
        <v>162</v>
      </c>
    </row>
    <row r="8" ht="26" customHeight="1" spans="2:8" x14ac:dyDescent="0.25">
      <c r="B8" s="44" t="s">
        <v>163</v>
      </c>
      <c r="C8" s="44" t="s">
        <v>108</v>
      </c>
      <c r="D8" s="44" t="s">
        <v>112</v>
      </c>
      <c r="E8" s="44" t="s">
        <v>212</v>
      </c>
      <c r="F8" s="44" t="s">
        <v>184</v>
      </c>
      <c r="G8" s="44" t="s">
        <v>243</v>
      </c>
      <c r="H8" s="45" t="s">
        <v>150</v>
      </c>
    </row>
    <row r="9" ht="21" customHeight="1" spans="2:8" x14ac:dyDescent="0.25">
      <c r="B9" s="46"/>
      <c r="C9" s="46"/>
      <c r="D9" s="46"/>
      <c r="E9" s="46"/>
      <c r="F9" s="49"/>
      <c r="G9" s="49"/>
      <c r="H9" s="48">
        <f>IF(B9="","",IF(AND(F9&lt;&gt;"",G9&lt;&gt;"",G9&lt;F9),"⚠ Échéance avant début","✓"))</f>
      </c>
    </row>
    <row r="10" ht="21" customHeight="1" spans="2:8" x14ac:dyDescent="0.25">
      <c r="B10" s="46"/>
      <c r="C10" s="46"/>
      <c r="D10" s="46"/>
      <c r="E10" s="46"/>
      <c r="F10" s="49"/>
      <c r="G10" s="49"/>
      <c r="H10" s="48">
        <f>IF(B10="","",IF(AND(F10&lt;&gt;"",G10&lt;&gt;"",G10&lt;F10),"⚠ Échéance avant début","✓"))</f>
      </c>
    </row>
    <row r="11" ht="21" customHeight="1" spans="2:8" x14ac:dyDescent="0.25">
      <c r="B11" s="46"/>
      <c r="C11" s="46"/>
      <c r="D11" s="46"/>
      <c r="E11" s="46"/>
      <c r="F11" s="49"/>
      <c r="G11" s="49"/>
      <c r="H11" s="48">
        <f>IF(B11="","",IF(AND(F11&lt;&gt;"",G11&lt;&gt;"",G11&lt;F11),"⚠ Échéance avant début","✓"))</f>
      </c>
    </row>
    <row r="12" ht="21" customHeight="1" spans="2:8" x14ac:dyDescent="0.25">
      <c r="B12" s="46"/>
      <c r="C12" s="46"/>
      <c r="D12" s="46"/>
      <c r="E12" s="46"/>
      <c r="F12" s="49"/>
      <c r="G12" s="49"/>
      <c r="H12" s="48">
        <f>IF(B12="","",IF(AND(F12&lt;&gt;"",G12&lt;&gt;"",G12&lt;F12),"⚠ Échéance avant début","✓"))</f>
      </c>
    </row>
    <row r="13" ht="21" customHeight="1" spans="2:8" x14ac:dyDescent="0.25">
      <c r="B13" s="46"/>
      <c r="C13" s="46"/>
      <c r="D13" s="46"/>
      <c r="E13" s="46"/>
      <c r="F13" s="49"/>
      <c r="G13" s="49"/>
      <c r="H13" s="48">
        <f>IF(B13="","",IF(AND(F13&lt;&gt;"",G13&lt;&gt;"",G13&lt;F13),"⚠ Échéance avant début","✓"))</f>
      </c>
    </row>
    <row r="14" ht="21" customHeight="1" spans="2:8" x14ac:dyDescent="0.25">
      <c r="B14" s="46"/>
      <c r="C14" s="46"/>
      <c r="D14" s="46"/>
      <c r="E14" s="46"/>
      <c r="F14" s="49"/>
      <c r="G14" s="49"/>
      <c r="H14" s="48">
        <f>IF(B14="","",IF(AND(F14&lt;&gt;"",G14&lt;&gt;"",G14&lt;F14),"⚠ Échéance avant début","✓"))</f>
      </c>
    </row>
    <row r="15" ht="21" customHeight="1" spans="2:8" x14ac:dyDescent="0.25">
      <c r="B15" s="46"/>
      <c r="C15" s="46"/>
      <c r="D15" s="46"/>
      <c r="E15" s="46"/>
      <c r="F15" s="49"/>
      <c r="G15" s="49"/>
      <c r="H15" s="48">
        <f>IF(B15="","",IF(AND(F15&lt;&gt;"",G15&lt;&gt;"",G15&lt;F15),"⚠ Échéance avant début","✓"))</f>
      </c>
    </row>
    <row r="16" ht="21" customHeight="1" spans="2:8" x14ac:dyDescent="0.25">
      <c r="B16" s="46"/>
      <c r="C16" s="46"/>
      <c r="D16" s="46"/>
      <c r="E16" s="46"/>
      <c r="F16" s="49"/>
      <c r="G16" s="49"/>
      <c r="H16" s="48">
        <f>IF(B16="","",IF(AND(F16&lt;&gt;"",G16&lt;&gt;"",G16&lt;F16),"⚠ Échéance avant début","✓"))</f>
      </c>
    </row>
    <row r="17" ht="21" customHeight="1" spans="2:8" x14ac:dyDescent="0.25">
      <c r="B17" s="46"/>
      <c r="C17" s="46"/>
      <c r="D17" s="46"/>
      <c r="E17" s="46"/>
      <c r="F17" s="49"/>
      <c r="G17" s="49"/>
      <c r="H17" s="48">
        <f>IF(B17="","",IF(AND(F17&lt;&gt;"",G17&lt;&gt;"",G17&lt;F17),"⚠ Échéance avant début","✓"))</f>
      </c>
    </row>
    <row r="18" ht="21" customHeight="1" spans="2:8" x14ac:dyDescent="0.25">
      <c r="B18" s="46"/>
      <c r="C18" s="46"/>
      <c r="D18" s="46"/>
      <c r="E18" s="46"/>
      <c r="F18" s="49"/>
      <c r="G18" s="49"/>
      <c r="H18" s="48">
        <f>IF(B18="","",IF(AND(F18&lt;&gt;"",G18&lt;&gt;"",G18&lt;F18),"⚠ Échéance avant début","✓"))</f>
      </c>
    </row>
    <row r="19" ht="21" customHeight="1" spans="2:8" x14ac:dyDescent="0.25">
      <c r="B19" s="46"/>
      <c r="C19" s="46"/>
      <c r="D19" s="46"/>
      <c r="E19" s="46"/>
      <c r="F19" s="49"/>
      <c r="G19" s="49"/>
      <c r="H19" s="48">
        <f>IF(B19="","",IF(AND(F19&lt;&gt;"",G19&lt;&gt;"",G19&lt;F19),"⚠ Échéance avant début","✓"))</f>
      </c>
    </row>
    <row r="20" ht="21" customHeight="1" spans="2:8" x14ac:dyDescent="0.25">
      <c r="B20" s="46"/>
      <c r="C20" s="46"/>
      <c r="D20" s="46"/>
      <c r="E20" s="46"/>
      <c r="F20" s="49"/>
      <c r="G20" s="49"/>
      <c r="H20" s="48">
        <f>IF(B20="","",IF(AND(F20&lt;&gt;"",G20&lt;&gt;"",G20&lt;F20),"⚠ Échéance avant début","✓"))</f>
      </c>
    </row>
    <row r="21" ht="21" customHeight="1" spans="2:8" x14ac:dyDescent="0.25">
      <c r="B21" s="46"/>
      <c r="C21" s="46"/>
      <c r="D21" s="46"/>
      <c r="E21" s="46"/>
      <c r="F21" s="49"/>
      <c r="G21" s="49"/>
      <c r="H21" s="48">
        <f>IF(B21="","",IF(AND(F21&lt;&gt;"",G21&lt;&gt;"",G21&lt;F21),"⚠ Échéance avant début","✓"))</f>
      </c>
    </row>
    <row r="22" ht="21" customHeight="1" spans="2:8" x14ac:dyDescent="0.25">
      <c r="B22" s="46"/>
      <c r="C22" s="46"/>
      <c r="D22" s="46"/>
      <c r="E22" s="46"/>
      <c r="F22" s="49"/>
      <c r="G22" s="49"/>
      <c r="H22" s="48">
        <f>IF(B22="","",IF(AND(F22&lt;&gt;"",G22&lt;&gt;"",G22&lt;F22),"⚠ Échéance avant début","✓"))</f>
      </c>
    </row>
    <row r="23" ht="21" customHeight="1" spans="2:8" x14ac:dyDescent="0.25">
      <c r="B23" s="46"/>
      <c r="C23" s="46"/>
      <c r="D23" s="46"/>
      <c r="E23" s="46"/>
      <c r="F23" s="49"/>
      <c r="G23" s="49"/>
      <c r="H23" s="48">
        <f>IF(B23="","",IF(AND(F23&lt;&gt;"",G23&lt;&gt;"",G23&lt;F23),"⚠ Échéance avant début","✓"))</f>
      </c>
    </row>
    <row r="24" ht="21" customHeight="1" spans="2:8" x14ac:dyDescent="0.25">
      <c r="B24" s="46"/>
      <c r="C24" s="46"/>
      <c r="D24" s="46"/>
      <c r="E24" s="46"/>
      <c r="F24" s="49"/>
      <c r="G24" s="49"/>
      <c r="H24" s="48">
        <f>IF(B24="","",IF(AND(F24&lt;&gt;"",G24&lt;&gt;"",G24&lt;F24),"⚠ Échéance avant début","✓"))</f>
      </c>
    </row>
    <row r="25" ht="21" customHeight="1" spans="2:8" x14ac:dyDescent="0.25">
      <c r="B25" s="46"/>
      <c r="C25" s="46"/>
      <c r="D25" s="46"/>
      <c r="E25" s="46"/>
      <c r="F25" s="49"/>
      <c r="G25" s="49"/>
      <c r="H25" s="48">
        <f>IF(B25="","",IF(AND(F25&lt;&gt;"",G25&lt;&gt;"",G25&lt;F25),"⚠ Échéance avant début","✓"))</f>
      </c>
    </row>
    <row r="26" ht="21" customHeight="1" spans="2:8" x14ac:dyDescent="0.25">
      <c r="B26" s="46"/>
      <c r="C26" s="46"/>
      <c r="D26" s="46"/>
      <c r="E26" s="46"/>
      <c r="F26" s="49"/>
      <c r="G26" s="49"/>
      <c r="H26" s="48">
        <f>IF(B26="","",IF(AND(F26&lt;&gt;"",G26&lt;&gt;"",G26&lt;F26),"⚠ Échéance avant début","✓"))</f>
      </c>
    </row>
    <row r="27" ht="21" customHeight="1" spans="2:8" x14ac:dyDescent="0.25">
      <c r="B27" s="46"/>
      <c r="C27" s="46"/>
      <c r="D27" s="46"/>
      <c r="E27" s="46"/>
      <c r="F27" s="49"/>
      <c r="G27" s="49"/>
      <c r="H27" s="48">
        <f>IF(B27="","",IF(AND(F27&lt;&gt;"",G27&lt;&gt;"",G27&lt;F27),"⚠ Échéance avant début","✓"))</f>
      </c>
    </row>
    <row r="28" ht="21" customHeight="1" spans="2:8" x14ac:dyDescent="0.25">
      <c r="B28" s="46"/>
      <c r="C28" s="46"/>
      <c r="D28" s="46"/>
      <c r="E28" s="46"/>
      <c r="F28" s="49"/>
      <c r="G28" s="49"/>
      <c r="H28" s="48">
        <f>IF(B28="","",IF(AND(F28&lt;&gt;"",G28&lt;&gt;"",G28&lt;F28),"⚠ Échéance avant début","✓"))</f>
      </c>
    </row>
    <row r="29" ht="21" customHeight="1" spans="2:8" x14ac:dyDescent="0.25">
      <c r="B29" s="46"/>
      <c r="C29" s="46"/>
      <c r="D29" s="46"/>
      <c r="E29" s="46"/>
      <c r="F29" s="49"/>
      <c r="G29" s="49"/>
      <c r="H29" s="48">
        <f>IF(B29="","",IF(AND(F29&lt;&gt;"",G29&lt;&gt;"",G29&lt;F29),"⚠ Échéance avant début","✓"))</f>
      </c>
    </row>
    <row r="30" ht="21" customHeight="1" spans="2:8" x14ac:dyDescent="0.25">
      <c r="B30" s="46"/>
      <c r="C30" s="46"/>
      <c r="D30" s="46"/>
      <c r="E30" s="46"/>
      <c r="F30" s="49"/>
      <c r="G30" s="49"/>
      <c r="H30" s="48">
        <f>IF(B30="","",IF(AND(F30&lt;&gt;"",G30&lt;&gt;"",G30&lt;F30),"⚠ Échéance avant début","✓"))</f>
      </c>
    </row>
    <row r="31" ht="21" customHeight="1" spans="2:8" x14ac:dyDescent="0.25">
      <c r="B31" s="46"/>
      <c r="C31" s="46"/>
      <c r="D31" s="46"/>
      <c r="E31" s="46"/>
      <c r="F31" s="49"/>
      <c r="G31" s="49"/>
      <c r="H31" s="48">
        <f>IF(B31="","",IF(AND(F31&lt;&gt;"",G31&lt;&gt;"",G31&lt;F31),"⚠ Échéance avant début","✓"))</f>
      </c>
    </row>
    <row r="32" ht="21" customHeight="1" spans="2:8" x14ac:dyDescent="0.25">
      <c r="B32" s="46"/>
      <c r="C32" s="46"/>
      <c r="D32" s="46"/>
      <c r="E32" s="46"/>
      <c r="F32" s="49"/>
      <c r="G32" s="49"/>
      <c r="H32" s="48">
        <f>IF(B32="","",IF(AND(F32&lt;&gt;"",G32&lt;&gt;"",G32&lt;F32),"⚠ Échéance avant début","✓"))</f>
      </c>
    </row>
    <row r="33" ht="21" customHeight="1" spans="2:8" x14ac:dyDescent="0.25">
      <c r="B33" s="46"/>
      <c r="C33" s="46"/>
      <c r="D33" s="46"/>
      <c r="E33" s="46"/>
      <c r="F33" s="49"/>
      <c r="G33" s="49"/>
      <c r="H33" s="48">
        <f>IF(B33="","",IF(AND(F33&lt;&gt;"",G33&lt;&gt;"",G33&lt;F33),"⚠ Échéance avant début","✓"))</f>
      </c>
    </row>
    <row r="34" ht="21" customHeight="1" spans="2:8" x14ac:dyDescent="0.25">
      <c r="B34" s="46"/>
      <c r="C34" s="46"/>
      <c r="D34" s="46"/>
      <c r="E34" s="46"/>
      <c r="F34" s="49"/>
      <c r="G34" s="49"/>
      <c r="H34" s="48">
        <f>IF(B34="","",IF(AND(F34&lt;&gt;"",G34&lt;&gt;"",G34&lt;F34),"⚠ Échéance avant début","✓"))</f>
      </c>
    </row>
    <row r="35" ht="21" customHeight="1" spans="2:8" x14ac:dyDescent="0.25">
      <c r="B35" s="46"/>
      <c r="C35" s="46"/>
      <c r="D35" s="46"/>
      <c r="E35" s="46"/>
      <c r="F35" s="49"/>
      <c r="G35" s="49"/>
      <c r="H35" s="48">
        <f>IF(B35="","",IF(AND(F35&lt;&gt;"",G35&lt;&gt;"",G35&lt;F35),"⚠ Échéance avant début","✓"))</f>
      </c>
    </row>
    <row r="36" ht="21" customHeight="1" spans="2:8" x14ac:dyDescent="0.25">
      <c r="B36" s="46"/>
      <c r="C36" s="46"/>
      <c r="D36" s="46"/>
      <c r="E36" s="46"/>
      <c r="F36" s="49"/>
      <c r="G36" s="49"/>
      <c r="H36" s="48">
        <f>IF(B36="","",IF(AND(F36&lt;&gt;"",G36&lt;&gt;"",G36&lt;F36),"⚠ Échéance avant début","✓"))</f>
      </c>
    </row>
    <row r="37" ht="21" customHeight="1" spans="2:8" x14ac:dyDescent="0.25">
      <c r="B37" s="46"/>
      <c r="C37" s="46"/>
      <c r="D37" s="46"/>
      <c r="E37" s="46"/>
      <c r="F37" s="49"/>
      <c r="G37" s="49"/>
      <c r="H37" s="48">
        <f>IF(B37="","",IF(AND(F37&lt;&gt;"",G37&lt;&gt;"",G37&lt;F37),"⚠ Échéance avant début","✓"))</f>
      </c>
    </row>
    <row r="38" ht="21" customHeight="1" spans="2:8" x14ac:dyDescent="0.25">
      <c r="B38" s="46"/>
      <c r="C38" s="46"/>
      <c r="D38" s="46"/>
      <c r="E38" s="46"/>
      <c r="F38" s="49"/>
      <c r="G38" s="49"/>
      <c r="H38" s="48">
        <f>IF(B38="","",IF(AND(F38&lt;&gt;"",G38&lt;&gt;"",G38&lt;F38),"⚠ Échéance avant début","✓"))</f>
      </c>
    </row>
    <row r="39" ht="21" customHeight="1" spans="2:8" x14ac:dyDescent="0.25">
      <c r="B39" s="46"/>
      <c r="C39" s="46"/>
      <c r="D39" s="46"/>
      <c r="E39" s="46"/>
      <c r="F39" s="49"/>
      <c r="G39" s="49"/>
      <c r="H39" s="48">
        <f>IF(B39="","",IF(AND(F39&lt;&gt;"",G39&lt;&gt;"",G39&lt;F39),"⚠ Échéance avant début","✓"))</f>
      </c>
    </row>
    <row r="40" ht="21" customHeight="1" spans="2:8" x14ac:dyDescent="0.25">
      <c r="B40" s="46"/>
      <c r="C40" s="46"/>
      <c r="D40" s="46"/>
      <c r="E40" s="46"/>
      <c r="F40" s="49"/>
      <c r="G40" s="49"/>
      <c r="H40" s="48">
        <f>IF(B40="","",IF(AND(F40&lt;&gt;"",G40&lt;&gt;"",G40&lt;F40),"⚠ Échéance avant début","✓"))</f>
      </c>
    </row>
    <row r="41" ht="21" customHeight="1" spans="2:8" x14ac:dyDescent="0.25">
      <c r="B41" s="46"/>
      <c r="C41" s="46"/>
      <c r="D41" s="46"/>
      <c r="E41" s="46"/>
      <c r="F41" s="49"/>
      <c r="G41" s="49"/>
      <c r="H41" s="48">
        <f>IF(B41="","",IF(AND(F41&lt;&gt;"",G41&lt;&gt;"",G41&lt;F41),"⚠ Échéance avant début","✓"))</f>
      </c>
    </row>
    <row r="42" ht="21" customHeight="1" spans="2:8" x14ac:dyDescent="0.25">
      <c r="B42" s="46"/>
      <c r="C42" s="46"/>
      <c r="D42" s="46"/>
      <c r="E42" s="46"/>
      <c r="F42" s="49"/>
      <c r="G42" s="49"/>
      <c r="H42" s="48">
        <f>IF(B42="","",IF(AND(F42&lt;&gt;"",G42&lt;&gt;"",G42&lt;F42),"⚠ Échéance avant début","✓"))</f>
      </c>
    </row>
    <row r="43" ht="21" customHeight="1" spans="2:8" x14ac:dyDescent="0.25">
      <c r="B43" s="46"/>
      <c r="C43" s="46"/>
      <c r="D43" s="46"/>
      <c r="E43" s="46"/>
      <c r="F43" s="49"/>
      <c r="G43" s="49"/>
      <c r="H43" s="48">
        <f>IF(B43="","",IF(AND(F43&lt;&gt;"",G43&lt;&gt;"",G43&lt;F43),"⚠ Échéance avant début","✓"))</f>
      </c>
    </row>
    <row r="44" ht="21" customHeight="1" spans="2:8" x14ac:dyDescent="0.25">
      <c r="B44" s="46"/>
      <c r="C44" s="46"/>
      <c r="D44" s="46"/>
      <c r="E44" s="46"/>
      <c r="F44" s="49"/>
      <c r="G44" s="49"/>
      <c r="H44" s="48">
        <f>IF(B44="","",IF(AND(F44&lt;&gt;"",G44&lt;&gt;"",G44&lt;F44),"⚠ Échéance avant début","✓"))</f>
      </c>
    </row>
    <row r="45" ht="21" customHeight="1" spans="2:8" x14ac:dyDescent="0.25">
      <c r="B45" s="46"/>
      <c r="C45" s="46"/>
      <c r="D45" s="46"/>
      <c r="E45" s="46"/>
      <c r="F45" s="49"/>
      <c r="G45" s="49"/>
      <c r="H45" s="48">
        <f>IF(B45="","",IF(AND(F45&lt;&gt;"",G45&lt;&gt;"",G45&lt;F45),"⚠ Échéance avant début","✓"))</f>
      </c>
    </row>
    <row r="46" ht="21" customHeight="1" spans="2:8" x14ac:dyDescent="0.25">
      <c r="B46" s="46"/>
      <c r="C46" s="46"/>
      <c r="D46" s="46"/>
      <c r="E46" s="46"/>
      <c r="F46" s="49"/>
      <c r="G46" s="49"/>
      <c r="H46" s="48">
        <f>IF(B46="","",IF(AND(F46&lt;&gt;"",G46&lt;&gt;"",G46&lt;F46),"⚠ Échéance avant début","✓"))</f>
      </c>
    </row>
    <row r="47" ht="21" customHeight="1" spans="2:8" x14ac:dyDescent="0.25">
      <c r="B47" s="46"/>
      <c r="C47" s="46"/>
      <c r="D47" s="46"/>
      <c r="E47" s="46"/>
      <c r="F47" s="49"/>
      <c r="G47" s="49"/>
      <c r="H47" s="48">
        <f>IF(B47="","",IF(AND(F47&lt;&gt;"",G47&lt;&gt;"",G47&lt;F47),"⚠ Échéance avant début","✓"))</f>
      </c>
    </row>
    <row r="48" ht="21" customHeight="1" spans="2:8" x14ac:dyDescent="0.25">
      <c r="B48" s="46"/>
      <c r="C48" s="46"/>
      <c r="D48" s="46"/>
      <c r="E48" s="46"/>
      <c r="F48" s="49"/>
      <c r="G48" s="49"/>
      <c r="H48" s="48">
        <f>IF(B48="","",IF(AND(F48&lt;&gt;"",G48&lt;&gt;"",G48&lt;F48),"⚠ Échéance avant début","✓"))</f>
      </c>
    </row>
    <row r="49" ht="21" customHeight="1" spans="2:8" x14ac:dyDescent="0.25">
      <c r="B49" s="46"/>
      <c r="C49" s="46"/>
      <c r="D49" s="46"/>
      <c r="E49" s="46"/>
      <c r="F49" s="49"/>
      <c r="G49" s="49"/>
      <c r="H49" s="48">
        <f>IF(B49="","",IF(AND(F49&lt;&gt;"",G49&lt;&gt;"",G49&lt;F49),"⚠ Échéance avant début","✓"))</f>
      </c>
    </row>
    <row r="50" ht="21" customHeight="1" spans="2:8" x14ac:dyDescent="0.25">
      <c r="B50" s="46"/>
      <c r="C50" s="46"/>
      <c r="D50" s="46"/>
      <c r="E50" s="46"/>
      <c r="F50" s="49"/>
      <c r="G50" s="49"/>
      <c r="H50" s="48">
        <f>IF(B50="","",IF(AND(F50&lt;&gt;"",G50&lt;&gt;"",G50&lt;F50),"⚠ Échéance avant début","✓"))</f>
      </c>
    </row>
    <row r="51" ht="21" customHeight="1" spans="2:8" x14ac:dyDescent="0.25">
      <c r="B51" s="46"/>
      <c r="C51" s="46"/>
      <c r="D51" s="46"/>
      <c r="E51" s="46"/>
      <c r="F51" s="49"/>
      <c r="G51" s="49"/>
      <c r="H51" s="48">
        <f>IF(B51="","",IF(AND(F51&lt;&gt;"",G51&lt;&gt;"",G51&lt;F51),"⚠ Échéance avant début","✓"))</f>
      </c>
    </row>
    <row r="52" ht="21" customHeight="1" spans="2:8" x14ac:dyDescent="0.25">
      <c r="B52" s="46"/>
      <c r="C52" s="46"/>
      <c r="D52" s="46"/>
      <c r="E52" s="46"/>
      <c r="F52" s="49"/>
      <c r="G52" s="49"/>
      <c r="H52" s="48">
        <f>IF(B52="","",IF(AND(F52&lt;&gt;"",G52&lt;&gt;"",G52&lt;F52),"⚠ Échéance avant début","✓"))</f>
      </c>
    </row>
    <row r="53" ht="21" customHeight="1" spans="2:8" x14ac:dyDescent="0.25">
      <c r="B53" s="46"/>
      <c r="C53" s="46"/>
      <c r="D53" s="46"/>
      <c r="E53" s="46"/>
      <c r="F53" s="49"/>
      <c r="G53" s="49"/>
      <c r="H53" s="48">
        <f>IF(B53="","",IF(AND(F53&lt;&gt;"",G53&lt;&gt;"",G53&lt;F53),"⚠ Échéance avant début","✓"))</f>
      </c>
    </row>
    <row r="54" ht="21" customHeight="1" spans="2:8" x14ac:dyDescent="0.25">
      <c r="B54" s="46"/>
      <c r="C54" s="46"/>
      <c r="D54" s="46"/>
      <c r="E54" s="46"/>
      <c r="F54" s="49"/>
      <c r="G54" s="49"/>
      <c r="H54" s="48">
        <f>IF(B54="","",IF(AND(F54&lt;&gt;"",G54&lt;&gt;"",G54&lt;F54),"⚠ Échéance avant début","✓"))</f>
      </c>
    </row>
    <row r="55" ht="21" customHeight="1" spans="2:8" x14ac:dyDescent="0.25">
      <c r="B55" s="46"/>
      <c r="C55" s="46"/>
      <c r="D55" s="46"/>
      <c r="E55" s="46"/>
      <c r="F55" s="49"/>
      <c r="G55" s="49"/>
      <c r="H55" s="48">
        <f>IF(B55="","",IF(AND(F55&lt;&gt;"",G55&lt;&gt;"",G55&lt;F55),"⚠ Échéance avant début","✓"))</f>
      </c>
    </row>
    <row r="56" ht="21" customHeight="1" spans="2:8" x14ac:dyDescent="0.25">
      <c r="B56" s="46"/>
      <c r="C56" s="46"/>
      <c r="D56" s="46"/>
      <c r="E56" s="46"/>
      <c r="F56" s="49"/>
      <c r="G56" s="49"/>
      <c r="H56" s="48">
        <f>IF(B56="","",IF(AND(F56&lt;&gt;"",G56&lt;&gt;"",G56&lt;F56),"⚠ Échéance avant début","✓"))</f>
      </c>
    </row>
    <row r="57" ht="21" customHeight="1" spans="2:8" x14ac:dyDescent="0.25">
      <c r="B57" s="46"/>
      <c r="C57" s="46"/>
      <c r="D57" s="46"/>
      <c r="E57" s="46"/>
      <c r="F57" s="49"/>
      <c r="G57" s="49"/>
      <c r="H57" s="48">
        <f>IF(B57="","",IF(AND(F57&lt;&gt;"",G57&lt;&gt;"",G57&lt;F57),"⚠ Échéance avant début","✓"))</f>
      </c>
    </row>
    <row r="58" ht="21" customHeight="1" spans="2:8" x14ac:dyDescent="0.25">
      <c r="B58" s="46"/>
      <c r="C58" s="46"/>
      <c r="D58" s="46"/>
      <c r="E58" s="46"/>
      <c r="F58" s="49"/>
      <c r="G58" s="49"/>
      <c r="H58" s="48">
        <f>IF(B58="","",IF(AND(F58&lt;&gt;"",G58&lt;&gt;"",G58&lt;F58),"⚠ Échéance avant début","✓"))</f>
      </c>
    </row>
    <row r="59" ht="21" customHeight="1" spans="2:8" x14ac:dyDescent="0.25">
      <c r="B59" s="46"/>
      <c r="C59" s="46"/>
      <c r="D59" s="46"/>
      <c r="E59" s="46"/>
      <c r="F59" s="49"/>
      <c r="G59" s="49"/>
      <c r="H59" s="48">
        <f>IF(B59="","",IF(AND(F59&lt;&gt;"",G59&lt;&gt;"",G59&lt;F59),"⚠ Échéance avant début","✓"))</f>
      </c>
    </row>
    <row r="60" ht="21" customHeight="1" spans="2:8" x14ac:dyDescent="0.25">
      <c r="B60" s="46"/>
      <c r="C60" s="46"/>
      <c r="D60" s="46"/>
      <c r="E60" s="46"/>
      <c r="F60" s="49"/>
      <c r="G60" s="49"/>
      <c r="H60" s="48">
        <f>IF(B60="","",IF(AND(F60&lt;&gt;"",G60&lt;&gt;"",G60&lt;F60),"⚠ Échéance avant début","✓"))</f>
      </c>
    </row>
    <row r="61" ht="21" customHeight="1" spans="2:8" x14ac:dyDescent="0.25">
      <c r="B61" s="46"/>
      <c r="C61" s="46"/>
      <c r="D61" s="46"/>
      <c r="E61" s="46"/>
      <c r="F61" s="49"/>
      <c r="G61" s="49"/>
      <c r="H61" s="48">
        <f>IF(B61="","",IF(AND(F61&lt;&gt;"",G61&lt;&gt;"",G61&lt;F61),"⚠ Échéance avant début","✓"))</f>
      </c>
    </row>
    <row r="62" ht="21" customHeight="1" spans="2:8" x14ac:dyDescent="0.25">
      <c r="B62" s="46"/>
      <c r="C62" s="46"/>
      <c r="D62" s="46"/>
      <c r="E62" s="46"/>
      <c r="F62" s="49"/>
      <c r="G62" s="49"/>
      <c r="H62" s="48">
        <f>IF(B62="","",IF(AND(F62&lt;&gt;"",G62&lt;&gt;"",G62&lt;F62),"⚠ Échéance avant début","✓"))</f>
      </c>
    </row>
    <row r="63" ht="21" customHeight="1" spans="2:8" x14ac:dyDescent="0.25">
      <c r="B63" s="46"/>
      <c r="C63" s="46"/>
      <c r="D63" s="46"/>
      <c r="E63" s="46"/>
      <c r="F63" s="49"/>
      <c r="G63" s="49"/>
      <c r="H63" s="48">
        <f>IF(B63="","",IF(AND(F63&lt;&gt;"",G63&lt;&gt;"",G63&lt;F63),"⚠ Échéance avant début","✓"))</f>
      </c>
    </row>
    <row r="64" ht="21" customHeight="1" spans="2:8" x14ac:dyDescent="0.25">
      <c r="B64" s="46"/>
      <c r="C64" s="46"/>
      <c r="D64" s="46"/>
      <c r="E64" s="46"/>
      <c r="F64" s="49"/>
      <c r="G64" s="49"/>
      <c r="H64" s="48">
        <f>IF(B64="","",IF(AND(F64&lt;&gt;"",G64&lt;&gt;"",G64&lt;F64),"⚠ Échéance avant début","✓"))</f>
      </c>
    </row>
    <row r="65" ht="21" customHeight="1" spans="2:8" x14ac:dyDescent="0.25">
      <c r="B65" s="46"/>
      <c r="C65" s="46"/>
      <c r="D65" s="46"/>
      <c r="E65" s="46"/>
      <c r="F65" s="49"/>
      <c r="G65" s="49"/>
      <c r="H65" s="48">
        <f>IF(B65="","",IF(AND(F65&lt;&gt;"",G65&lt;&gt;"",G65&lt;F65),"⚠ Échéance avant début","✓"))</f>
      </c>
    </row>
    <row r="66" ht="21" customHeight="1" spans="2:8" x14ac:dyDescent="0.25">
      <c r="B66" s="46"/>
      <c r="C66" s="46"/>
      <c r="D66" s="46"/>
      <c r="E66" s="46"/>
      <c r="F66" s="49"/>
      <c r="G66" s="49"/>
      <c r="H66" s="48">
        <f>IF(B66="","",IF(AND(F66&lt;&gt;"",G66&lt;&gt;"",G66&lt;F66),"⚠ Échéance avant début","✓"))</f>
      </c>
    </row>
    <row r="67" ht="21" customHeight="1" spans="2:8" x14ac:dyDescent="0.25">
      <c r="B67" s="46"/>
      <c r="C67" s="46"/>
      <c r="D67" s="46"/>
      <c r="E67" s="46"/>
      <c r="F67" s="49"/>
      <c r="G67" s="49"/>
      <c r="H67" s="48">
        <f>IF(B67="","",IF(AND(F67&lt;&gt;"",G67&lt;&gt;"",G67&lt;F67),"⚠ Échéance avant début","✓"))</f>
      </c>
    </row>
    <row r="68" ht="21" customHeight="1" spans="2:8" x14ac:dyDescent="0.25">
      <c r="B68" s="46"/>
      <c r="C68" s="46"/>
      <c r="D68" s="46"/>
      <c r="E68" s="46"/>
      <c r="F68" s="49"/>
      <c r="G68" s="49"/>
      <c r="H68" s="48">
        <f>IF(B68="","",IF(AND(F68&lt;&gt;"",G68&lt;&gt;"",G68&lt;F68),"⚠ Échéance avant début","✓"))</f>
      </c>
    </row>
    <row r="69" ht="21" customHeight="1" spans="2:8" x14ac:dyDescent="0.25">
      <c r="B69" s="46"/>
      <c r="C69" s="46"/>
      <c r="D69" s="46"/>
      <c r="E69" s="46"/>
      <c r="F69" s="49"/>
      <c r="G69" s="49"/>
      <c r="H69" s="48">
        <f>IF(B69="","",IF(AND(F69&lt;&gt;"",G69&lt;&gt;"",G69&lt;F69),"⚠ Échéance avant début","✓"))</f>
      </c>
    </row>
    <row r="70" ht="21" customHeight="1" spans="2:8" x14ac:dyDescent="0.25">
      <c r="B70" s="46"/>
      <c r="C70" s="46"/>
      <c r="D70" s="46"/>
      <c r="E70" s="46"/>
      <c r="F70" s="49"/>
      <c r="G70" s="49"/>
      <c r="H70" s="48">
        <f>IF(B70="","",IF(AND(F70&lt;&gt;"",G70&lt;&gt;"",G70&lt;F70),"⚠ Échéance avant début","✓"))</f>
      </c>
    </row>
    <row r="71" ht="21" customHeight="1" spans="2:8" x14ac:dyDescent="0.25">
      <c r="B71" s="46"/>
      <c r="C71" s="46"/>
      <c r="D71" s="46"/>
      <c r="E71" s="46"/>
      <c r="F71" s="49"/>
      <c r="G71" s="49"/>
      <c r="H71" s="48">
        <f>IF(B71="","",IF(AND(F71&lt;&gt;"",G71&lt;&gt;"",G71&lt;F71),"⚠ Échéance avant début","✓"))</f>
      </c>
    </row>
    <row r="72" ht="21" customHeight="1" spans="2:8" x14ac:dyDescent="0.25">
      <c r="B72" s="46"/>
      <c r="C72" s="46"/>
      <c r="D72" s="46"/>
      <c r="E72" s="46"/>
      <c r="F72" s="49"/>
      <c r="G72" s="49"/>
      <c r="H72" s="48">
        <f>IF(B72="","",IF(AND(F72&lt;&gt;"",G72&lt;&gt;"",G72&lt;F72),"⚠ Échéance avant début","✓"))</f>
      </c>
    </row>
    <row r="73" ht="21" customHeight="1" spans="2:8" x14ac:dyDescent="0.25">
      <c r="B73" s="46"/>
      <c r="C73" s="46"/>
      <c r="D73" s="46"/>
      <c r="E73" s="46"/>
      <c r="F73" s="49"/>
      <c r="G73" s="49"/>
      <c r="H73" s="48">
        <f>IF(B73="","",IF(AND(F73&lt;&gt;"",G73&lt;&gt;"",G73&lt;F73),"⚠ Échéance avant début","✓"))</f>
      </c>
    </row>
    <row r="74" ht="21" customHeight="1" spans="2:8" x14ac:dyDescent="0.25">
      <c r="B74" s="46"/>
      <c r="C74" s="46"/>
      <c r="D74" s="46"/>
      <c r="E74" s="46"/>
      <c r="F74" s="49"/>
      <c r="G74" s="49"/>
      <c r="H74" s="48">
        <f>IF(B74="","",IF(AND(F74&lt;&gt;"",G74&lt;&gt;"",G74&lt;F74),"⚠ Échéance avant début","✓"))</f>
      </c>
    </row>
    <row r="75" ht="21" customHeight="1" spans="2:8" x14ac:dyDescent="0.25">
      <c r="B75" s="46"/>
      <c r="C75" s="46"/>
      <c r="D75" s="46"/>
      <c r="E75" s="46"/>
      <c r="F75" s="49"/>
      <c r="G75" s="49"/>
      <c r="H75" s="48">
        <f>IF(B75="","",IF(AND(F75&lt;&gt;"",G75&lt;&gt;"",G75&lt;F75),"⚠ Échéance avant début","✓"))</f>
      </c>
    </row>
    <row r="76" ht="21" customHeight="1" spans="2:8" x14ac:dyDescent="0.25">
      <c r="B76" s="46"/>
      <c r="C76" s="46"/>
      <c r="D76" s="46"/>
      <c r="E76" s="46"/>
      <c r="F76" s="49"/>
      <c r="G76" s="49"/>
      <c r="H76" s="48">
        <f>IF(B76="","",IF(AND(F76&lt;&gt;"",G76&lt;&gt;"",G76&lt;F76),"⚠ Échéance avant début","✓"))</f>
      </c>
    </row>
    <row r="77" ht="21" customHeight="1" spans="2:8" x14ac:dyDescent="0.25">
      <c r="B77" s="46"/>
      <c r="C77" s="46"/>
      <c r="D77" s="46"/>
      <c r="E77" s="46"/>
      <c r="F77" s="49"/>
      <c r="G77" s="49"/>
      <c r="H77" s="48">
        <f>IF(B77="","",IF(AND(F77&lt;&gt;"",G77&lt;&gt;"",G77&lt;F77),"⚠ Échéance avant début","✓"))</f>
      </c>
    </row>
    <row r="78" ht="21" customHeight="1" spans="2:8" x14ac:dyDescent="0.25">
      <c r="B78" s="46"/>
      <c r="C78" s="46"/>
      <c r="D78" s="46"/>
      <c r="E78" s="46"/>
      <c r="F78" s="49"/>
      <c r="G78" s="49"/>
      <c r="H78" s="48">
        <f>IF(B78="","",IF(AND(F78&lt;&gt;"",G78&lt;&gt;"",G78&lt;F78),"⚠ Échéance avant début","✓"))</f>
      </c>
    </row>
    <row r="79" ht="21" customHeight="1" spans="2:8" x14ac:dyDescent="0.25">
      <c r="B79" s="46"/>
      <c r="C79" s="46"/>
      <c r="D79" s="46"/>
      <c r="E79" s="46"/>
      <c r="F79" s="49"/>
      <c r="G79" s="49"/>
      <c r="H79" s="48">
        <f>IF(B79="","",IF(AND(F79&lt;&gt;"",G79&lt;&gt;"",G79&lt;F79),"⚠ Échéance avant début","✓"))</f>
      </c>
    </row>
    <row r="80" ht="21" customHeight="1" spans="2:8" x14ac:dyDescent="0.25">
      <c r="B80" s="46"/>
      <c r="C80" s="46"/>
      <c r="D80" s="46"/>
      <c r="E80" s="46"/>
      <c r="F80" s="49"/>
      <c r="G80" s="49"/>
      <c r="H80" s="48">
        <f>IF(B80="","",IF(AND(F80&lt;&gt;"",G80&lt;&gt;"",G80&lt;F80),"⚠ Échéance avant début","✓"))</f>
      </c>
    </row>
    <row r="81" ht="21" customHeight="1" spans="2:8" x14ac:dyDescent="0.25">
      <c r="B81" s="46"/>
      <c r="C81" s="46"/>
      <c r="D81" s="46"/>
      <c r="E81" s="46"/>
      <c r="F81" s="49"/>
      <c r="G81" s="49"/>
      <c r="H81" s="48">
        <f>IF(B81="","",IF(AND(F81&lt;&gt;"",G81&lt;&gt;"",G81&lt;F81),"⚠ Échéance avant début","✓"))</f>
      </c>
    </row>
    <row r="82" ht="21" customHeight="1" spans="2:8" x14ac:dyDescent="0.25">
      <c r="B82" s="46"/>
      <c r="C82" s="46"/>
      <c r="D82" s="46"/>
      <c r="E82" s="46"/>
      <c r="F82" s="49"/>
      <c r="G82" s="49"/>
      <c r="H82" s="48">
        <f>IF(B82="","",IF(AND(F82&lt;&gt;"",G82&lt;&gt;"",G82&lt;F82),"⚠ Échéance avant début","✓"))</f>
      </c>
    </row>
    <row r="83" ht="21" customHeight="1" spans="2:8" x14ac:dyDescent="0.25">
      <c r="B83" s="46"/>
      <c r="C83" s="46"/>
      <c r="D83" s="46"/>
      <c r="E83" s="46"/>
      <c r="F83" s="49"/>
      <c r="G83" s="49"/>
      <c r="H83" s="48">
        <f>IF(B83="","",IF(AND(F83&lt;&gt;"",G83&lt;&gt;"",G83&lt;F83),"⚠ Échéance avant début","✓"))</f>
      </c>
    </row>
    <row r="84" ht="21" customHeight="1" spans="2:8" x14ac:dyDescent="0.25">
      <c r="B84" s="46"/>
      <c r="C84" s="46"/>
      <c r="D84" s="46"/>
      <c r="E84" s="46"/>
      <c r="F84" s="49"/>
      <c r="G84" s="49"/>
      <c r="H84" s="48">
        <f>IF(B84="","",IF(AND(F84&lt;&gt;"",G84&lt;&gt;"",G84&lt;F84),"⚠ Échéance avant début","✓"))</f>
      </c>
    </row>
    <row r="85" ht="21" customHeight="1" spans="2:8" x14ac:dyDescent="0.25">
      <c r="B85" s="46"/>
      <c r="C85" s="46"/>
      <c r="D85" s="46"/>
      <c r="E85" s="46"/>
      <c r="F85" s="49"/>
      <c r="G85" s="49"/>
      <c r="H85" s="48">
        <f>IF(B85="","",IF(AND(F85&lt;&gt;"",G85&lt;&gt;"",G85&lt;F85),"⚠ Échéance avant début","✓"))</f>
      </c>
    </row>
    <row r="86" ht="21" customHeight="1" spans="2:8" x14ac:dyDescent="0.25">
      <c r="B86" s="46"/>
      <c r="C86" s="46"/>
      <c r="D86" s="46"/>
      <c r="E86" s="46"/>
      <c r="F86" s="49"/>
      <c r="G86" s="49"/>
      <c r="H86" s="48">
        <f>IF(B86="","",IF(AND(F86&lt;&gt;"",G86&lt;&gt;"",G86&lt;F86),"⚠ Échéance avant début","✓"))</f>
      </c>
    </row>
    <row r="87" ht="21" customHeight="1" spans="2:8" x14ac:dyDescent="0.25">
      <c r="B87" s="46"/>
      <c r="C87" s="46"/>
      <c r="D87" s="46"/>
      <c r="E87" s="46"/>
      <c r="F87" s="49"/>
      <c r="G87" s="49"/>
      <c r="H87" s="48">
        <f>IF(B87="","",IF(AND(F87&lt;&gt;"",G87&lt;&gt;"",G87&lt;F87),"⚠ Échéance avant début","✓"))</f>
      </c>
    </row>
    <row r="88" ht="21" customHeight="1" spans="2:8" x14ac:dyDescent="0.25">
      <c r="B88" s="46"/>
      <c r="C88" s="46"/>
      <c r="D88" s="46"/>
      <c r="E88" s="46"/>
      <c r="F88" s="49"/>
      <c r="G88" s="49"/>
      <c r="H88" s="48">
        <f>IF(B88="","",IF(AND(F88&lt;&gt;"",G88&lt;&gt;"",G88&lt;F88),"⚠ Échéance avant début","✓"))</f>
      </c>
    </row>
    <row r="89" ht="21" customHeight="1" spans="2:8" x14ac:dyDescent="0.25">
      <c r="B89" s="46"/>
      <c r="C89" s="46"/>
      <c r="D89" s="46"/>
      <c r="E89" s="46"/>
      <c r="F89" s="49"/>
      <c r="G89" s="49"/>
      <c r="H89" s="48">
        <f>IF(B89="","",IF(AND(F89&lt;&gt;"",G89&lt;&gt;"",G89&lt;F89),"⚠ Échéance avant début","✓"))</f>
      </c>
    </row>
    <row r="90" ht="21" customHeight="1" spans="2:8" x14ac:dyDescent="0.25">
      <c r="B90" s="46"/>
      <c r="C90" s="46"/>
      <c r="D90" s="46"/>
      <c r="E90" s="46"/>
      <c r="F90" s="49"/>
      <c r="G90" s="49"/>
      <c r="H90" s="48">
        <f>IF(B90="","",IF(AND(F90&lt;&gt;"",G90&lt;&gt;"",G90&lt;F90),"⚠ Échéance avant début","✓"))</f>
      </c>
    </row>
    <row r="91" ht="21" customHeight="1" spans="2:8" x14ac:dyDescent="0.25">
      <c r="B91" s="46"/>
      <c r="C91" s="46"/>
      <c r="D91" s="46"/>
      <c r="E91" s="46"/>
      <c r="F91" s="49"/>
      <c r="G91" s="49"/>
      <c r="H91" s="48">
        <f>IF(B91="","",IF(AND(F91&lt;&gt;"",G91&lt;&gt;"",G91&lt;F91),"⚠ Échéance avant début","✓"))</f>
      </c>
    </row>
    <row r="92" ht="21" customHeight="1" spans="2:8" x14ac:dyDescent="0.25">
      <c r="B92" s="46"/>
      <c r="C92" s="46"/>
      <c r="D92" s="46"/>
      <c r="E92" s="46"/>
      <c r="F92" s="49"/>
      <c r="G92" s="49"/>
      <c r="H92" s="48">
        <f>IF(B92="","",IF(AND(F92&lt;&gt;"",G92&lt;&gt;"",G92&lt;F92),"⚠ Échéance avant début","✓"))</f>
      </c>
    </row>
    <row r="93" ht="21" customHeight="1" spans="2:8" x14ac:dyDescent="0.25">
      <c r="B93" s="46"/>
      <c r="C93" s="46"/>
      <c r="D93" s="46"/>
      <c r="E93" s="46"/>
      <c r="F93" s="49"/>
      <c r="G93" s="49"/>
      <c r="H93" s="48">
        <f>IF(B93="","",IF(AND(F93&lt;&gt;"",G93&lt;&gt;"",G93&lt;F93),"⚠ Échéance avant début","✓"))</f>
      </c>
    </row>
    <row r="94" ht="21" customHeight="1" spans="2:8" x14ac:dyDescent="0.25">
      <c r="B94" s="46"/>
      <c r="C94" s="46"/>
      <c r="D94" s="46"/>
      <c r="E94" s="46"/>
      <c r="F94" s="49"/>
      <c r="G94" s="49"/>
      <c r="H94" s="48">
        <f>IF(B94="","",IF(AND(F94&lt;&gt;"",G94&lt;&gt;"",G94&lt;F94),"⚠ Échéance avant début","✓"))</f>
      </c>
    </row>
    <row r="95" ht="21" customHeight="1" spans="2:8" x14ac:dyDescent="0.25">
      <c r="B95" s="46"/>
      <c r="C95" s="46"/>
      <c r="D95" s="46"/>
      <c r="E95" s="46"/>
      <c r="F95" s="49"/>
      <c r="G95" s="49"/>
      <c r="H95" s="48">
        <f>IF(B95="","",IF(AND(F95&lt;&gt;"",G95&lt;&gt;"",G95&lt;F95),"⚠ Échéance avant début","✓"))</f>
      </c>
    </row>
    <row r="96" ht="21" customHeight="1" spans="2:8" x14ac:dyDescent="0.25">
      <c r="B96" s="46"/>
      <c r="C96" s="46"/>
      <c r="D96" s="46"/>
      <c r="E96" s="46"/>
      <c r="F96" s="49"/>
      <c r="G96" s="49"/>
      <c r="H96" s="48">
        <f>IF(B96="","",IF(AND(F96&lt;&gt;"",G96&lt;&gt;"",G96&lt;F96),"⚠ Échéance avant début","✓"))</f>
      </c>
    </row>
    <row r="97" ht="21" customHeight="1" spans="2:8" x14ac:dyDescent="0.25">
      <c r="B97" s="46"/>
      <c r="C97" s="46"/>
      <c r="D97" s="46"/>
      <c r="E97" s="46"/>
      <c r="F97" s="49"/>
      <c r="G97" s="49"/>
      <c r="H97" s="48">
        <f>IF(B97="","",IF(AND(F97&lt;&gt;"",G97&lt;&gt;"",G97&lt;F97),"⚠ Échéance avant début","✓"))</f>
      </c>
    </row>
    <row r="98" ht="21" customHeight="1" spans="2:8" x14ac:dyDescent="0.25">
      <c r="B98" s="46"/>
      <c r="C98" s="46"/>
      <c r="D98" s="46"/>
      <c r="E98" s="46"/>
      <c r="F98" s="49"/>
      <c r="G98" s="49"/>
      <c r="H98" s="48">
        <f>IF(B98="","",IF(AND(F98&lt;&gt;"",G98&lt;&gt;"",G98&lt;F98),"⚠ Échéance avant début","✓"))</f>
      </c>
    </row>
    <row r="99" ht="21" customHeight="1" spans="2:8" x14ac:dyDescent="0.25">
      <c r="B99" s="46"/>
      <c r="C99" s="46"/>
      <c r="D99" s="46"/>
      <c r="E99" s="46"/>
      <c r="F99" s="49"/>
      <c r="G99" s="49"/>
      <c r="H99" s="48">
        <f>IF(B99="","",IF(AND(F99&lt;&gt;"",G99&lt;&gt;"",G99&lt;F99),"⚠ Échéance avant début","✓"))</f>
      </c>
    </row>
    <row r="100" ht="21" customHeight="1" spans="2:8" x14ac:dyDescent="0.25">
      <c r="B100" s="46"/>
      <c r="C100" s="46"/>
      <c r="D100" s="46"/>
      <c r="E100" s="46"/>
      <c r="F100" s="49"/>
      <c r="G100" s="49"/>
      <c r="H100" s="48">
        <f>IF(B100="","",IF(AND(F100&lt;&gt;"",G100&lt;&gt;"",G100&lt;F100),"⚠ Échéance avant début","✓"))</f>
      </c>
    </row>
    <row r="101" ht="21" customHeight="1" spans="2:8" x14ac:dyDescent="0.25">
      <c r="B101" s="46"/>
      <c r="C101" s="46"/>
      <c r="D101" s="46"/>
      <c r="E101" s="46"/>
      <c r="F101" s="49"/>
      <c r="G101" s="49"/>
      <c r="H101" s="48">
        <f>IF(B101="","",IF(AND(F101&lt;&gt;"",G101&lt;&gt;"",G101&lt;F101),"⚠ Échéance avant début","✓"))</f>
      </c>
    </row>
    <row r="102" ht="21" customHeight="1" spans="2:8" x14ac:dyDescent="0.25">
      <c r="B102" s="46"/>
      <c r="C102" s="46"/>
      <c r="D102" s="46"/>
      <c r="E102" s="46"/>
      <c r="F102" s="49"/>
      <c r="G102" s="49"/>
      <c r="H102" s="48">
        <f>IF(B102="","",IF(AND(F102&lt;&gt;"",G102&lt;&gt;"",G102&lt;F102),"⚠ Échéance avant début","✓"))</f>
      </c>
    </row>
    <row r="103" ht="21" customHeight="1" spans="2:8" x14ac:dyDescent="0.25">
      <c r="B103" s="46"/>
      <c r="C103" s="46"/>
      <c r="D103" s="46"/>
      <c r="E103" s="46"/>
      <c r="F103" s="49"/>
      <c r="G103" s="49"/>
      <c r="H103" s="48">
        <f>IF(B103="","",IF(AND(F103&lt;&gt;"",G103&lt;&gt;"",G103&lt;F103),"⚠ Échéance avant début","✓"))</f>
      </c>
    </row>
    <row r="104" ht="21" customHeight="1" spans="2:8" x14ac:dyDescent="0.25">
      <c r="B104" s="46"/>
      <c r="C104" s="46"/>
      <c r="D104" s="46"/>
      <c r="E104" s="46"/>
      <c r="F104" s="49"/>
      <c r="G104" s="49"/>
      <c r="H104" s="48">
        <f>IF(B104="","",IF(AND(F104&lt;&gt;"",G104&lt;&gt;"",G104&lt;F104),"⚠ Échéance avant début","✓"))</f>
      </c>
    </row>
    <row r="105" ht="21" customHeight="1" spans="2:8" x14ac:dyDescent="0.25">
      <c r="B105" s="46"/>
      <c r="C105" s="46"/>
      <c r="D105" s="46"/>
      <c r="E105" s="46"/>
      <c r="F105" s="49"/>
      <c r="G105" s="49"/>
      <c r="H105" s="48">
        <f>IF(B105="","",IF(AND(F105&lt;&gt;"",G105&lt;&gt;"",G105&lt;F105),"⚠ Échéance avant début","✓"))</f>
      </c>
    </row>
    <row r="106" ht="21" customHeight="1" spans="2:8" x14ac:dyDescent="0.25">
      <c r="B106" s="46"/>
      <c r="C106" s="46"/>
      <c r="D106" s="46"/>
      <c r="E106" s="46"/>
      <c r="F106" s="49"/>
      <c r="G106" s="49"/>
      <c r="H106" s="48">
        <f>IF(B106="","",IF(AND(F106&lt;&gt;"",G106&lt;&gt;"",G106&lt;F106),"⚠ Échéance avant début","✓"))</f>
      </c>
    </row>
    <row r="107" ht="21" customHeight="1" spans="2:8" x14ac:dyDescent="0.25">
      <c r="B107" s="46"/>
      <c r="C107" s="46"/>
      <c r="D107" s="46"/>
      <c r="E107" s="46"/>
      <c r="F107" s="49"/>
      <c r="G107" s="49"/>
      <c r="H107" s="48">
        <f>IF(B107="","",IF(AND(F107&lt;&gt;"",G107&lt;&gt;"",G107&lt;F107),"⚠ Échéance avant début","✓"))</f>
      </c>
    </row>
    <row r="108" ht="21" customHeight="1" spans="2:8" x14ac:dyDescent="0.25">
      <c r="B108" s="46"/>
      <c r="C108" s="46"/>
      <c r="D108" s="46"/>
      <c r="E108" s="46"/>
      <c r="F108" s="49"/>
      <c r="G108" s="49"/>
      <c r="H108" s="48">
        <f>IF(B108="","",IF(AND(F108&lt;&gt;"",G108&lt;&gt;"",G108&lt;F108),"⚠ Échéance avant début","✓"))</f>
      </c>
    </row>
    <row r="109" ht="21" customHeight="1" spans="2:8" x14ac:dyDescent="0.25">
      <c r="B109" s="46"/>
      <c r="C109" s="46"/>
      <c r="D109" s="46"/>
      <c r="E109" s="46"/>
      <c r="F109" s="49"/>
      <c r="G109" s="49"/>
      <c r="H109" s="48">
        <f>IF(B109="","",IF(AND(F109&lt;&gt;"",G109&lt;&gt;"",G109&lt;F109),"⚠ Échéance avant début","✓"))</f>
      </c>
    </row>
    <row r="110" ht="21" customHeight="1" spans="2:8" x14ac:dyDescent="0.25">
      <c r="B110" s="46"/>
      <c r="C110" s="46"/>
      <c r="D110" s="46"/>
      <c r="E110" s="46"/>
      <c r="F110" s="49"/>
      <c r="G110" s="49"/>
      <c r="H110" s="48">
        <f>IF(B110="","",IF(AND(F110&lt;&gt;"",G110&lt;&gt;"",G110&lt;F110),"⚠ Échéance avant début","✓"))</f>
      </c>
    </row>
    <row r="111" ht="21" customHeight="1" spans="2:8" x14ac:dyDescent="0.25">
      <c r="B111" s="46"/>
      <c r="C111" s="46"/>
      <c r="D111" s="46"/>
      <c r="E111" s="46"/>
      <c r="F111" s="49"/>
      <c r="G111" s="49"/>
      <c r="H111" s="48">
        <f>IF(B111="","",IF(AND(F111&lt;&gt;"",G111&lt;&gt;"",G111&lt;F111),"⚠ Échéance avant début","✓"))</f>
      </c>
    </row>
    <row r="112" ht="21" customHeight="1" spans="2:8" x14ac:dyDescent="0.25">
      <c r="B112" s="46"/>
      <c r="C112" s="46"/>
      <c r="D112" s="46"/>
      <c r="E112" s="46"/>
      <c r="F112" s="49"/>
      <c r="G112" s="49"/>
      <c r="H112" s="48">
        <f>IF(B112="","",IF(AND(F112&lt;&gt;"",G112&lt;&gt;"",G112&lt;F112),"⚠ Échéance avant début","✓"))</f>
      </c>
    </row>
    <row r="113" ht="21" customHeight="1" spans="2:8" x14ac:dyDescent="0.25">
      <c r="B113" s="46"/>
      <c r="C113" s="46"/>
      <c r="D113" s="46"/>
      <c r="E113" s="46"/>
      <c r="F113" s="49"/>
      <c r="G113" s="49"/>
      <c r="H113" s="48">
        <f>IF(B113="","",IF(AND(F113&lt;&gt;"",G113&lt;&gt;"",G113&lt;F113),"⚠ Échéance avant début","✓"))</f>
      </c>
    </row>
    <row r="114" ht="21" customHeight="1" spans="2:8" x14ac:dyDescent="0.25">
      <c r="B114" s="46"/>
      <c r="C114" s="46"/>
      <c r="D114" s="46"/>
      <c r="E114" s="46"/>
      <c r="F114" s="49"/>
      <c r="G114" s="49"/>
      <c r="H114" s="48">
        <f>IF(B114="","",IF(AND(F114&lt;&gt;"",G114&lt;&gt;"",G114&lt;F114),"⚠ Échéance avant début","✓"))</f>
      </c>
    </row>
    <row r="115" ht="21" customHeight="1" spans="2:8" x14ac:dyDescent="0.25">
      <c r="B115" s="46"/>
      <c r="C115" s="46"/>
      <c r="D115" s="46"/>
      <c r="E115" s="46"/>
      <c r="F115" s="49"/>
      <c r="G115" s="49"/>
      <c r="H115" s="48">
        <f>IF(B115="","",IF(AND(F115&lt;&gt;"",G115&lt;&gt;"",G115&lt;F115),"⚠ Échéance avant début","✓"))</f>
      </c>
    </row>
    <row r="116" ht="21" customHeight="1" spans="2:8" x14ac:dyDescent="0.25">
      <c r="B116" s="46"/>
      <c r="C116" s="46"/>
      <c r="D116" s="46"/>
      <c r="E116" s="46"/>
      <c r="F116" s="49"/>
      <c r="G116" s="49"/>
      <c r="H116" s="48">
        <f>IF(B116="","",IF(AND(F116&lt;&gt;"",G116&lt;&gt;"",G116&lt;F116),"⚠ Échéance avant début","✓"))</f>
      </c>
    </row>
    <row r="117" ht="21" customHeight="1" spans="2:8" x14ac:dyDescent="0.25">
      <c r="B117" s="46"/>
      <c r="C117" s="46"/>
      <c r="D117" s="46"/>
      <c r="E117" s="46"/>
      <c r="F117" s="49"/>
      <c r="G117" s="49"/>
      <c r="H117" s="48">
        <f>IF(B117="","",IF(AND(F117&lt;&gt;"",G117&lt;&gt;"",G117&lt;F117),"⚠ Échéance avant début","✓"))</f>
      </c>
    </row>
    <row r="118" ht="21" customHeight="1" spans="2:8" x14ac:dyDescent="0.25">
      <c r="B118" s="46"/>
      <c r="C118" s="46"/>
      <c r="D118" s="46"/>
      <c r="E118" s="46"/>
      <c r="F118" s="49"/>
      <c r="G118" s="49"/>
      <c r="H118" s="48">
        <f>IF(B118="","",IF(AND(F118&lt;&gt;"",G118&lt;&gt;"",G118&lt;F118),"⚠ Échéance avant début","✓"))</f>
      </c>
    </row>
    <row r="119" ht="21" customHeight="1" spans="2:8" x14ac:dyDescent="0.25">
      <c r="B119" s="46"/>
      <c r="C119" s="46"/>
      <c r="D119" s="46"/>
      <c r="E119" s="46"/>
      <c r="F119" s="49"/>
      <c r="G119" s="49"/>
      <c r="H119" s="48">
        <f>IF(B119="","",IF(AND(F119&lt;&gt;"",G119&lt;&gt;"",G119&lt;F119),"⚠ Échéance avant début","✓"))</f>
      </c>
    </row>
    <row r="120" ht="21" customHeight="1" spans="2:8" x14ac:dyDescent="0.25">
      <c r="B120" s="46"/>
      <c r="C120" s="46"/>
      <c r="D120" s="46"/>
      <c r="E120" s="46"/>
      <c r="F120" s="49"/>
      <c r="G120" s="49"/>
      <c r="H120" s="48">
        <f>IF(B120="","",IF(AND(F120&lt;&gt;"",G120&lt;&gt;"",G120&lt;F120),"⚠ Échéance avant début","✓"))</f>
      </c>
    </row>
    <row r="121" ht="21" customHeight="1" spans="2:8" x14ac:dyDescent="0.25">
      <c r="B121" s="46"/>
      <c r="C121" s="46"/>
      <c r="D121" s="46"/>
      <c r="E121" s="46"/>
      <c r="F121" s="49"/>
      <c r="G121" s="49"/>
      <c r="H121" s="48">
        <f>IF(B121="","",IF(AND(F121&lt;&gt;"",G121&lt;&gt;"",G121&lt;F121),"⚠ Échéance avant début","✓"))</f>
      </c>
    </row>
    <row r="122" ht="21" customHeight="1" spans="2:8" x14ac:dyDescent="0.25">
      <c r="B122" s="46"/>
      <c r="C122" s="46"/>
      <c r="D122" s="46"/>
      <c r="E122" s="46"/>
      <c r="F122" s="49"/>
      <c r="G122" s="49"/>
      <c r="H122" s="48">
        <f>IF(B122="","",IF(AND(F122&lt;&gt;"",G122&lt;&gt;"",G122&lt;F122),"⚠ Échéance avant début","✓"))</f>
      </c>
    </row>
    <row r="123" ht="21" customHeight="1" spans="2:8" x14ac:dyDescent="0.25">
      <c r="B123" s="46"/>
      <c r="C123" s="46"/>
      <c r="D123" s="46"/>
      <c r="E123" s="46"/>
      <c r="F123" s="49"/>
      <c r="G123" s="49"/>
      <c r="H123" s="48">
        <f>IF(B123="","",IF(AND(F123&lt;&gt;"",G123&lt;&gt;"",G123&lt;F123),"⚠ Échéance avant début","✓"))</f>
      </c>
    </row>
    <row r="124" ht="21" customHeight="1" spans="2:8" x14ac:dyDescent="0.25">
      <c r="B124" s="46"/>
      <c r="C124" s="46"/>
      <c r="D124" s="46"/>
      <c r="E124" s="46"/>
      <c r="F124" s="49"/>
      <c r="G124" s="49"/>
      <c r="H124" s="48">
        <f>IF(B124="","",IF(AND(F124&lt;&gt;"",G124&lt;&gt;"",G124&lt;F124),"⚠ Échéance avant début","✓"))</f>
      </c>
    </row>
    <row r="125" ht="21" customHeight="1" spans="2:8" x14ac:dyDescent="0.25">
      <c r="B125" s="46"/>
      <c r="C125" s="46"/>
      <c r="D125" s="46"/>
      <c r="E125" s="46"/>
      <c r="F125" s="49"/>
      <c r="G125" s="49"/>
      <c r="H125" s="48">
        <f>IF(B125="","",IF(AND(F125&lt;&gt;"",G125&lt;&gt;"",G125&lt;F125),"⚠ Échéance avant début","✓"))</f>
      </c>
    </row>
    <row r="126" ht="21" customHeight="1" spans="2:8" x14ac:dyDescent="0.25">
      <c r="B126" s="46"/>
      <c r="C126" s="46"/>
      <c r="D126" s="46"/>
      <c r="E126" s="46"/>
      <c r="F126" s="49"/>
      <c r="G126" s="49"/>
      <c r="H126" s="48">
        <f>IF(B126="","",IF(AND(F126&lt;&gt;"",G126&lt;&gt;"",G126&lt;F126),"⚠ Échéance avant début","✓"))</f>
      </c>
    </row>
    <row r="127" ht="21" customHeight="1" spans="2:8" x14ac:dyDescent="0.25">
      <c r="B127" s="46"/>
      <c r="C127" s="46"/>
      <c r="D127" s="46"/>
      <c r="E127" s="46"/>
      <c r="F127" s="49"/>
      <c r="G127" s="49"/>
      <c r="H127" s="48">
        <f>IF(B127="","",IF(AND(F127&lt;&gt;"",G127&lt;&gt;"",G127&lt;F127),"⚠ Échéance avant début","✓"))</f>
      </c>
    </row>
    <row r="128" ht="21" customHeight="1" spans="2:8" x14ac:dyDescent="0.25">
      <c r="B128" s="46"/>
      <c r="C128" s="46"/>
      <c r="D128" s="46"/>
      <c r="E128" s="46"/>
      <c r="F128" s="49"/>
      <c r="G128" s="49"/>
      <c r="H128" s="48">
        <f>IF(B128="","",IF(AND(F128&lt;&gt;"",G128&lt;&gt;"",G128&lt;F128),"⚠ Échéance avant début","✓"))</f>
      </c>
    </row>
    <row r="129" ht="21" customHeight="1" spans="2:8" x14ac:dyDescent="0.25">
      <c r="B129" s="46"/>
      <c r="C129" s="46"/>
      <c r="D129" s="46"/>
      <c r="E129" s="46"/>
      <c r="F129" s="49"/>
      <c r="G129" s="49"/>
      <c r="H129" s="48">
        <f>IF(B129="","",IF(AND(F129&lt;&gt;"",G129&lt;&gt;"",G129&lt;F129),"⚠ Échéance avant début","✓"))</f>
      </c>
    </row>
    <row r="130" ht="21" customHeight="1" spans="2:8" x14ac:dyDescent="0.25">
      <c r="B130" s="46"/>
      <c r="C130" s="46"/>
      <c r="D130" s="46"/>
      <c r="E130" s="46"/>
      <c r="F130" s="49"/>
      <c r="G130" s="49"/>
      <c r="H130" s="48">
        <f>IF(B130="","",IF(AND(F130&lt;&gt;"",G130&lt;&gt;"",G130&lt;F130),"⚠ Échéance avant début","✓"))</f>
      </c>
    </row>
    <row r="131" ht="21" customHeight="1" spans="2:8" x14ac:dyDescent="0.25">
      <c r="B131" s="46"/>
      <c r="C131" s="46"/>
      <c r="D131" s="46"/>
      <c r="E131" s="46"/>
      <c r="F131" s="49"/>
      <c r="G131" s="49"/>
      <c r="H131" s="48">
        <f>IF(B131="","",IF(AND(F131&lt;&gt;"",G131&lt;&gt;"",G131&lt;F131),"⚠ Échéance avant début","✓"))</f>
      </c>
    </row>
    <row r="132" ht="21" customHeight="1" spans="2:8" x14ac:dyDescent="0.25">
      <c r="B132" s="46"/>
      <c r="C132" s="46"/>
      <c r="D132" s="46"/>
      <c r="E132" s="46"/>
      <c r="F132" s="49"/>
      <c r="G132" s="49"/>
      <c r="H132" s="48">
        <f>IF(B132="","",IF(AND(F132&lt;&gt;"",G132&lt;&gt;"",G132&lt;F132),"⚠ Échéance avant début","✓"))</f>
      </c>
    </row>
    <row r="133" ht="21" customHeight="1" spans="2:8" x14ac:dyDescent="0.25">
      <c r="B133" s="46"/>
      <c r="C133" s="46"/>
      <c r="D133" s="46"/>
      <c r="E133" s="46"/>
      <c r="F133" s="49"/>
      <c r="G133" s="49"/>
      <c r="H133" s="48">
        <f>IF(B133="","",IF(AND(F133&lt;&gt;"",G133&lt;&gt;"",G133&lt;F133),"⚠ Échéance avant début","✓"))</f>
      </c>
    </row>
    <row r="134" ht="21" customHeight="1" spans="2:8" x14ac:dyDescent="0.25">
      <c r="B134" s="46"/>
      <c r="C134" s="46"/>
      <c r="D134" s="46"/>
      <c r="E134" s="46"/>
      <c r="F134" s="49"/>
      <c r="G134" s="49"/>
      <c r="H134" s="48">
        <f>IF(B134="","",IF(AND(F134&lt;&gt;"",G134&lt;&gt;"",G134&lt;F134),"⚠ Échéance avant début","✓"))</f>
      </c>
    </row>
    <row r="135" ht="21" customHeight="1" spans="2:8" x14ac:dyDescent="0.25">
      <c r="B135" s="46"/>
      <c r="C135" s="46"/>
      <c r="D135" s="46"/>
      <c r="E135" s="46"/>
      <c r="F135" s="49"/>
      <c r="G135" s="49"/>
      <c r="H135" s="48">
        <f>IF(B135="","",IF(AND(F135&lt;&gt;"",G135&lt;&gt;"",G135&lt;F135),"⚠ Échéance avant début","✓"))</f>
      </c>
    </row>
    <row r="136" ht="21" customHeight="1" spans="2:8" x14ac:dyDescent="0.25">
      <c r="B136" s="46"/>
      <c r="C136" s="46"/>
      <c r="D136" s="46"/>
      <c r="E136" s="46"/>
      <c r="F136" s="49"/>
      <c r="G136" s="49"/>
      <c r="H136" s="48">
        <f>IF(B136="","",IF(AND(F136&lt;&gt;"",G136&lt;&gt;"",G136&lt;F136),"⚠ Échéance avant début","✓"))</f>
      </c>
    </row>
    <row r="137" ht="21" customHeight="1" spans="2:8" x14ac:dyDescent="0.25">
      <c r="B137" s="46"/>
      <c r="C137" s="46"/>
      <c r="D137" s="46"/>
      <c r="E137" s="46"/>
      <c r="F137" s="49"/>
      <c r="G137" s="49"/>
      <c r="H137" s="48">
        <f>IF(B137="","",IF(AND(F137&lt;&gt;"",G137&lt;&gt;"",G137&lt;F137),"⚠ Échéance avant début","✓"))</f>
      </c>
    </row>
    <row r="138" ht="21" customHeight="1" spans="2:8" x14ac:dyDescent="0.25">
      <c r="B138" s="46"/>
      <c r="C138" s="46"/>
      <c r="D138" s="46"/>
      <c r="E138" s="46"/>
      <c r="F138" s="49"/>
      <c r="G138" s="49"/>
      <c r="H138" s="48">
        <f>IF(B138="","",IF(AND(F138&lt;&gt;"",G138&lt;&gt;"",G138&lt;F138),"⚠ Échéance avant début","✓"))</f>
      </c>
    </row>
    <row r="139" ht="21" customHeight="1" spans="2:8" x14ac:dyDescent="0.25">
      <c r="B139" s="46"/>
      <c r="C139" s="46"/>
      <c r="D139" s="46"/>
      <c r="E139" s="46"/>
      <c r="F139" s="49"/>
      <c r="G139" s="49"/>
      <c r="H139" s="48">
        <f>IF(B139="","",IF(AND(F139&lt;&gt;"",G139&lt;&gt;"",G139&lt;F139),"⚠ Échéance avant début","✓"))</f>
      </c>
    </row>
    <row r="140" ht="21" customHeight="1" spans="2:8" x14ac:dyDescent="0.25">
      <c r="B140" s="46"/>
      <c r="C140" s="46"/>
      <c r="D140" s="46"/>
      <c r="E140" s="46"/>
      <c r="F140" s="49"/>
      <c r="G140" s="49"/>
      <c r="H140" s="48">
        <f>IF(B140="","",IF(AND(F140&lt;&gt;"",G140&lt;&gt;"",G140&lt;F140),"⚠ Échéance avant début","✓"))</f>
      </c>
    </row>
    <row r="141" ht="21" customHeight="1" spans="2:8" x14ac:dyDescent="0.25">
      <c r="B141" s="46"/>
      <c r="C141" s="46"/>
      <c r="D141" s="46"/>
      <c r="E141" s="46"/>
      <c r="F141" s="49"/>
      <c r="G141" s="49"/>
      <c r="H141" s="48">
        <f>IF(B141="","",IF(AND(F141&lt;&gt;"",G141&lt;&gt;"",G141&lt;F141),"⚠ Échéance avant début","✓"))</f>
      </c>
    </row>
    <row r="142" ht="21" customHeight="1" spans="2:8" x14ac:dyDescent="0.25">
      <c r="B142" s="46"/>
      <c r="C142" s="46"/>
      <c r="D142" s="46"/>
      <c r="E142" s="46"/>
      <c r="F142" s="49"/>
      <c r="G142" s="49"/>
      <c r="H142" s="48">
        <f>IF(B142="","",IF(AND(F142&lt;&gt;"",G142&lt;&gt;"",G142&lt;F142),"⚠ Échéance avant début","✓"))</f>
      </c>
    </row>
    <row r="143" ht="21" customHeight="1" spans="2:8" x14ac:dyDescent="0.25">
      <c r="B143" s="46"/>
      <c r="C143" s="46"/>
      <c r="D143" s="46"/>
      <c r="E143" s="46"/>
      <c r="F143" s="49"/>
      <c r="G143" s="49"/>
      <c r="H143" s="48">
        <f>IF(B143="","",IF(AND(F143&lt;&gt;"",G143&lt;&gt;"",G143&lt;F143),"⚠ Échéance avant début","✓"))</f>
      </c>
    </row>
    <row r="144" ht="21" customHeight="1" spans="2:8" x14ac:dyDescent="0.25">
      <c r="B144" s="46"/>
      <c r="C144" s="46"/>
      <c r="D144" s="46"/>
      <c r="E144" s="46"/>
      <c r="F144" s="49"/>
      <c r="G144" s="49"/>
      <c r="H144" s="48">
        <f>IF(B144="","",IF(AND(F144&lt;&gt;"",G144&lt;&gt;"",G144&lt;F144),"⚠ Échéance avant début","✓"))</f>
      </c>
    </row>
    <row r="145" ht="21" customHeight="1" spans="2:8" x14ac:dyDescent="0.25">
      <c r="B145" s="46"/>
      <c r="C145" s="46"/>
      <c r="D145" s="46"/>
      <c r="E145" s="46"/>
      <c r="F145" s="49"/>
      <c r="G145" s="49"/>
      <c r="H145" s="48">
        <f>IF(B145="","",IF(AND(F145&lt;&gt;"",G145&lt;&gt;"",G145&lt;F145),"⚠ Échéance avant début","✓"))</f>
      </c>
    </row>
    <row r="146" ht="21" customHeight="1" spans="2:8" x14ac:dyDescent="0.25">
      <c r="B146" s="46"/>
      <c r="C146" s="46"/>
      <c r="D146" s="46"/>
      <c r="E146" s="46"/>
      <c r="F146" s="49"/>
      <c r="G146" s="49"/>
      <c r="H146" s="48">
        <f>IF(B146="","",IF(AND(F146&lt;&gt;"",G146&lt;&gt;"",G146&lt;F146),"⚠ Échéance avant début","✓"))</f>
      </c>
    </row>
    <row r="147" ht="21" customHeight="1" spans="2:8" x14ac:dyDescent="0.25">
      <c r="B147" s="46"/>
      <c r="C147" s="46"/>
      <c r="D147" s="46"/>
      <c r="E147" s="46"/>
      <c r="F147" s="49"/>
      <c r="G147" s="49"/>
      <c r="H147" s="48">
        <f>IF(B147="","",IF(AND(F147&lt;&gt;"",G147&lt;&gt;"",G147&lt;F147),"⚠ Échéance avant début","✓"))</f>
      </c>
    </row>
    <row r="148" ht="21" customHeight="1" spans="2:8" x14ac:dyDescent="0.25">
      <c r="B148" s="46"/>
      <c r="C148" s="46"/>
      <c r="D148" s="46"/>
      <c r="E148" s="46"/>
      <c r="F148" s="49"/>
      <c r="G148" s="49"/>
      <c r="H148" s="48">
        <f>IF(B148="","",IF(AND(F148&lt;&gt;"",G148&lt;&gt;"",G148&lt;F148),"⚠ Échéance avant début","✓"))</f>
      </c>
    </row>
    <row r="149" ht="21" customHeight="1" spans="2:8" x14ac:dyDescent="0.25">
      <c r="B149" s="46"/>
      <c r="C149" s="46"/>
      <c r="D149" s="46"/>
      <c r="E149" s="46"/>
      <c r="F149" s="49"/>
      <c r="G149" s="49"/>
      <c r="H149" s="48">
        <f>IF(B149="","",IF(AND(F149&lt;&gt;"",G149&lt;&gt;"",G149&lt;F149),"⚠ Échéance avant début","✓"))</f>
      </c>
    </row>
    <row r="150" ht="21" customHeight="1" spans="2:8" x14ac:dyDescent="0.25">
      <c r="B150" s="46"/>
      <c r="C150" s="46"/>
      <c r="D150" s="46"/>
      <c r="E150" s="46"/>
      <c r="F150" s="49"/>
      <c r="G150" s="49"/>
      <c r="H150" s="48">
        <f>IF(B150="","",IF(AND(F150&lt;&gt;"",G150&lt;&gt;"",G150&lt;F150),"⚠ Échéance avant début","✓"))</f>
      </c>
    </row>
    <row r="151" ht="21" customHeight="1" spans="2:8" x14ac:dyDescent="0.25">
      <c r="B151" s="46"/>
      <c r="C151" s="46"/>
      <c r="D151" s="46"/>
      <c r="E151" s="46"/>
      <c r="F151" s="49"/>
      <c r="G151" s="49"/>
      <c r="H151" s="48">
        <f>IF(B151="","",IF(AND(F151&lt;&gt;"",G151&lt;&gt;"",G151&lt;F151),"⚠ Échéance avant début","✓"))</f>
      </c>
    </row>
    <row r="152" ht="21" customHeight="1" spans="2:8" x14ac:dyDescent="0.25">
      <c r="B152" s="46"/>
      <c r="C152" s="46"/>
      <c r="D152" s="46"/>
      <c r="E152" s="46"/>
      <c r="F152" s="49"/>
      <c r="G152" s="49"/>
      <c r="H152" s="48">
        <f>IF(B152="","",IF(AND(F152&lt;&gt;"",G152&lt;&gt;"",G152&lt;F152),"⚠ Échéance avant début","✓"))</f>
      </c>
    </row>
    <row r="153" ht="21" customHeight="1" spans="2:8" x14ac:dyDescent="0.25">
      <c r="B153" s="46"/>
      <c r="C153" s="46"/>
      <c r="D153" s="46"/>
      <c r="E153" s="46"/>
      <c r="F153" s="49"/>
      <c r="G153" s="49"/>
      <c r="H153" s="48">
        <f>IF(B153="","",IF(AND(F153&lt;&gt;"",G153&lt;&gt;"",G153&lt;F153),"⚠ Échéance avant début","✓"))</f>
      </c>
    </row>
    <row r="154" ht="21" customHeight="1" spans="2:8" x14ac:dyDescent="0.25">
      <c r="B154" s="46"/>
      <c r="C154" s="46"/>
      <c r="D154" s="46"/>
      <c r="E154" s="46"/>
      <c r="F154" s="49"/>
      <c r="G154" s="49"/>
      <c r="H154" s="48">
        <f>IF(B154="","",IF(AND(F154&lt;&gt;"",G154&lt;&gt;"",G154&lt;F154),"⚠ Échéance avant début","✓"))</f>
      </c>
    </row>
    <row r="155" ht="21" customHeight="1" spans="2:8" x14ac:dyDescent="0.25">
      <c r="B155" s="46"/>
      <c r="C155" s="46"/>
      <c r="D155" s="46"/>
      <c r="E155" s="46"/>
      <c r="F155" s="49"/>
      <c r="G155" s="49"/>
      <c r="H155" s="48">
        <f>IF(B155="","",IF(AND(F155&lt;&gt;"",G155&lt;&gt;"",G155&lt;F155),"⚠ Échéance avant début","✓"))</f>
      </c>
    </row>
    <row r="156" ht="21" customHeight="1" spans="2:8" x14ac:dyDescent="0.25">
      <c r="B156" s="46"/>
      <c r="C156" s="46"/>
      <c r="D156" s="46"/>
      <c r="E156" s="46"/>
      <c r="F156" s="49"/>
      <c r="G156" s="49"/>
      <c r="H156" s="48">
        <f>IF(B156="","",IF(AND(F156&lt;&gt;"",G156&lt;&gt;"",G156&lt;F156),"⚠ Échéance avant début","✓"))</f>
      </c>
    </row>
    <row r="157" ht="21" customHeight="1" spans="2:8" x14ac:dyDescent="0.25">
      <c r="B157" s="46"/>
      <c r="C157" s="46"/>
      <c r="D157" s="46"/>
      <c r="E157" s="46"/>
      <c r="F157" s="49"/>
      <c r="G157" s="49"/>
      <c r="H157" s="48">
        <f>IF(B157="","",IF(AND(F157&lt;&gt;"",G157&lt;&gt;"",G157&lt;F157),"⚠ Échéance avant début","✓"))</f>
      </c>
    </row>
    <row r="158" ht="21" customHeight="1" spans="2:8" x14ac:dyDescent="0.25">
      <c r="B158" s="46"/>
      <c r="C158" s="46"/>
      <c r="D158" s="46"/>
      <c r="E158" s="46"/>
      <c r="F158" s="49"/>
      <c r="G158" s="49"/>
      <c r="H158" s="48">
        <f>IF(B158="","",IF(AND(F158&lt;&gt;"",G158&lt;&gt;"",G158&lt;F158),"⚠ Échéance avant début","✓"))</f>
      </c>
    </row>
  </sheetData>
  <sheetProtection sheet="1" formatColumns="0" formatRows="0" sort="0" autoFilter="0"/>
  <autoFilter ref="B8:H8"/>
  <conditionalFormatting sqref="B9:B158">
    <cfRule type="expression" dxfId="70" priority="1">
      <formula>AND(OR($B9&lt;&gt;"",$C9&lt;&gt;"",$D9&lt;&gt;"",$E9&lt;&gt;"",$F9&lt;&gt;"",$G9&lt;&gt;""),B9="")</formula>
    </cfRule>
  </conditionalFormatting>
  <conditionalFormatting sqref="C9:C158">
    <cfRule type="expression" dxfId="71" priority="1">
      <formula>AND(OR($B9&lt;&gt;"",$C9&lt;&gt;"",$D9&lt;&gt;"",$E9&lt;&gt;"",$F9&lt;&gt;"",$G9&lt;&gt;""),C9="")</formula>
    </cfRule>
  </conditionalFormatting>
  <conditionalFormatting sqref="E9:E158">
    <cfRule type="expression" dxfId="72" priority="1">
      <formula>AND(OR($B9&lt;&gt;"",$C9&lt;&gt;"",$D9&lt;&gt;"",$E9&lt;&gt;"",$F9&lt;&gt;"",$G9&lt;&gt;""),E9="")</formula>
    </cfRule>
  </conditionalFormatting>
  <conditionalFormatting sqref="G9:G158">
    <cfRule type="expression" dxfId="73" priority="1">
      <formula>AND(OR($B9&lt;&gt;"",$C9&lt;&gt;"",$D9&lt;&gt;"",$E9&lt;&gt;"",$F9&lt;&gt;"",$G9&lt;&gt;""),G9="")</formula>
    </cfRule>
  </conditionalFormatting>
  <conditionalFormatting sqref="H9:H158">
    <cfRule type="containsText" dxfId="74" priority="2">
      <formula>NOT(ISERROR(SEARCH("⚠",H9)))</formula>
    </cfRule>
    <cfRule type="containsText" dxfId="75" priority="3">
      <formula>NOT(ISERROR(SEARCH("◔",H9)))</formula>
    </cfRule>
  </conditionalFormatting>
  <dataValidations count="8">
    <dataValidation type="list" allowBlank="1" showErrorMessage="1" errorStyle="stop" errorTitle="Valeur hors liste" error="Choisissez une valeur dans la liste. Elle se remplit à partir de l’onglet correspondant." sqref="C10:C158">
      <formula1>L_SousPhases</formula1>
    </dataValidation>
    <dataValidation type="list" allowBlank="1" showErrorMessage="1" errorStyle="stop" errorTitle="Valeur hors liste" error="Choisissez une valeur dans la liste. Elle se remplit à partir de l’onglet correspondant." sqref="C9:C158">
      <formula1>L_SousPhases</formula1>
    </dataValidation>
    <dataValidation type="list" allowBlank="1" showErrorMessage="1" errorStyle="stop" errorTitle="Valeur hors liste" error="Choisissez une valeur dans la liste. Elle se remplit à partir de l’onglet correspondant." sqref="D10:D158">
      <formula1>L_Chantiers</formula1>
    </dataValidation>
    <dataValidation type="list" allowBlank="1" showErrorMessage="1" errorStyle="stop" errorTitle="Valeur hors liste" error="Choisissez une valeur dans la liste. Elle se remplit à partir de l’onglet correspondant." sqref="D9:D158">
      <formula1>L_Chantiers</formula1>
    </dataValidation>
    <dataValidation type="list" allowBlank="1" showErrorMessage="1" errorStyle="stop" errorTitle="Valeur hors liste" error="Choisissez une valeur dans la liste. Elle se remplit à partir de l’onglet correspondant." sqref="E10:E158">
      <formula1>L_Personnes</formula1>
    </dataValidation>
    <dataValidation type="list" allowBlank="1" showErrorMessage="1" errorStyle="stop" errorTitle="Valeur hors liste" error="Choisissez une valeur dans la liste. Elle se remplit à partir de l’onglet correspondant." sqref="E9:E158">
      <formula1>L_Personnes</formula1>
    </dataValidation>
    <dataValidation type="date" operator="greaterThan" allowBlank="1" showErrorMessage="1" errorStyle="stop" errorTitle="Date attendue" error="Saisissez une date au format JJ/MM/AAAA." sqref="F10:G158">
      <formula1>36526</formula1>
    </dataValidation>
    <dataValidation type="date" operator="greaterThan" allowBlank="1" showErrorMessage="1" errorStyle="stop" errorTitle="Date attendue" error="Saisissez une date au format JJ/MM/AAAA." sqref="F9:G158">
      <formula1>36526</formula1>
    </dataValidation>
  </dataValidations>
  <hyperlinks>
    <hyperlink ref="H3" r:id="rId1" location="#'Complétude'!A1"/>
  </hyperlinks>
  <pageMargins left="0.4" right="0.4" top="0.5" bottom="0.5" header="0.2" footer="0.2"/>
  <pageSetup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sheetData>
    <row r="1" spans="1:11" x14ac:dyDescent="0.25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</row>
    <row r="2" spans="1:11" x14ac:dyDescent="0.25">
      <c r="A2" t="s">
        <v>255</v>
      </c>
      <c r="B2" t="s">
        <v>256</v>
      </c>
      <c r="C2" t="s">
        <v>178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s">
        <v>264</v>
      </c>
    </row>
    <row r="3" spans="1:11" x14ac:dyDescent="0.25">
      <c r="A3" t="s">
        <v>265</v>
      </c>
      <c r="B3" t="s">
        <v>265</v>
      </c>
      <c r="C3" t="s">
        <v>266</v>
      </c>
      <c r="D3" t="s">
        <v>267</v>
      </c>
      <c r="E3" t="s">
        <v>268</v>
      </c>
      <c r="F3" t="s">
        <v>269</v>
      </c>
      <c r="G3" t="s">
        <v>128</v>
      </c>
      <c r="H3" t="s">
        <v>270</v>
      </c>
      <c r="I3" t="s">
        <v>124</v>
      </c>
      <c r="J3" t="s">
        <v>178</v>
      </c>
      <c r="K3" t="s">
        <v>271</v>
      </c>
    </row>
    <row r="4" spans="1:11" x14ac:dyDescent="0.25">
      <c r="A4" t="s">
        <v>272</v>
      </c>
      <c r="B4" t="s">
        <v>273</v>
      </c>
      <c r="D4" t="s">
        <v>274</v>
      </c>
      <c r="F4" t="s">
        <v>275</v>
      </c>
      <c r="G4" t="s">
        <v>276</v>
      </c>
      <c r="H4" t="s">
        <v>277</v>
      </c>
      <c r="I4" t="s">
        <v>278</v>
      </c>
      <c r="J4" t="s">
        <v>266</v>
      </c>
      <c r="K4" t="s">
        <v>279</v>
      </c>
    </row>
    <row r="5" spans="4:11" x14ac:dyDescent="0.25">
      <c r="D5" t="s">
        <v>280</v>
      </c>
      <c r="F5" t="s">
        <v>281</v>
      </c>
      <c r="G5" t="s">
        <v>282</v>
      </c>
      <c r="H5" t="s">
        <v>283</v>
      </c>
      <c r="I5" t="s">
        <v>284</v>
      </c>
      <c r="K5" t="s">
        <v>285</v>
      </c>
    </row>
    <row r="6" spans="4:11" x14ac:dyDescent="0.25">
      <c r="D6" t="s">
        <v>286</v>
      </c>
      <c r="F6" t="s">
        <v>287</v>
      </c>
      <c r="H6" t="s">
        <v>288</v>
      </c>
      <c r="K6" t="s">
        <v>289</v>
      </c>
    </row>
    <row r="7" spans="6:8" x14ac:dyDescent="0.25">
      <c r="F7" t="s">
        <v>290</v>
      </c>
      <c r="H7" t="s">
        <v>291</v>
      </c>
    </row>
    <row r="8" spans="6:8" x14ac:dyDescent="0.25">
      <c r="F8" t="s">
        <v>292</v>
      </c>
      <c r="H8" t="s">
        <v>293</v>
      </c>
    </row>
    <row r="9" spans="8:8" x14ac:dyDescent="0.25">
      <c r="H9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Complétude</vt:lpstr>
      <vt:lpstr>Glossaire</vt:lpstr>
      <vt:lpstr>01 Équipes</vt:lpstr>
      <vt:lpstr>02 Rôles</vt:lpstr>
      <vt:lpstr>03 Personnes</vt:lpstr>
      <vt:lpstr>04 Affectations</vt:lpstr>
      <vt:lpstr>05 Projet</vt:lpstr>
      <vt:lpstr>06 Lots</vt:lpstr>
      <vt:lpstr>07 Phases</vt:lpstr>
      <vt:lpstr>08 Sous-phases</vt:lpstr>
      <vt:lpstr>09 Chantiers</vt:lpstr>
      <vt:lpstr>10 Instances</vt:lpstr>
      <vt:lpstr>11 Membres</vt:lpstr>
      <vt:lpstr>12 Jalons</vt:lpstr>
      <vt:lpstr>13 Livrables</vt:lpstr>
      <vt:lpstr>Listes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 Cockpit</dc:creator>
  <dc:title/>
  <dc:subject/>
  <dc:description/>
  <cp:keywords/>
  <cp:category/>
  <cp:lastModifiedBy>Unknown</cp:lastModifiedBy>
  <dcterms:created xsi:type="dcterms:W3CDTF">2026-09-26T19:48:24Z</dcterms:created>
  <dcterms:modified xsi:type="dcterms:W3CDTF">2026-09-26T19:48:24Z</dcterms:modified>
</cp:coreProperties>
</file>