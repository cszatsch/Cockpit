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.schmitz\dev\cockpit\frontends\"/>
    </mc:Choice>
  </mc:AlternateContent>
  <xr:revisionPtr revIDLastSave="0" documentId="13_ncr:1_{CA357B18-4A28-4158-9075-ED6A3257D7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létude" sheetId="1" r:id="rId1"/>
    <sheet name="Glossaire" sheetId="2" r:id="rId2"/>
    <sheet name="Références" sheetId="3" r:id="rId3"/>
    <sheet name="01 Équipes" sheetId="4" r:id="rId4"/>
    <sheet name="02 Rôles" sheetId="5" r:id="rId5"/>
    <sheet name="03 Personnes" sheetId="6" r:id="rId6"/>
    <sheet name="04 Affectations" sheetId="7" r:id="rId7"/>
    <sheet name="05 Projet" sheetId="8" r:id="rId8"/>
    <sheet name="06 Info projet" sheetId="9" r:id="rId9"/>
    <sheet name="07 Lots" sheetId="10" r:id="rId10"/>
    <sheet name="08 Phases" sheetId="11" r:id="rId11"/>
    <sheet name="09 Sous-phases" sheetId="12" r:id="rId12"/>
    <sheet name="10 Chantiers" sheetId="13" r:id="rId13"/>
    <sheet name="11 Instances" sheetId="14" r:id="rId14"/>
    <sheet name="12 Membres" sheetId="15" r:id="rId15"/>
    <sheet name="13 Jalons" sheetId="16" r:id="rId16"/>
    <sheet name="14 Livrables" sheetId="17" r:id="rId17"/>
    <sheet name="Listes" sheetId="18" state="veryHidden" r:id="rId18"/>
  </sheets>
  <definedNames>
    <definedName name="_xlnm._FilterDatabase" localSheetId="3" hidden="1">'01 Équipes'!$B$8:$E$8</definedName>
    <definedName name="_xlnm._FilterDatabase" localSheetId="4" hidden="1">'02 Rôles'!$B$8:$D$8</definedName>
    <definedName name="_xlnm._FilterDatabase" localSheetId="5" hidden="1">'03 Personnes'!$B$8:$H$8</definedName>
    <definedName name="_xlnm._FilterDatabase" localSheetId="6" hidden="1">'04 Affectations'!$B$8:$H$8</definedName>
    <definedName name="_xlnm._FilterDatabase" localSheetId="9" hidden="1">'07 Lots'!$B$8:$I$8</definedName>
    <definedName name="_xlnm._FilterDatabase" localSheetId="10" hidden="1">'08 Phases'!$B$8:$J$8</definedName>
    <definedName name="_xlnm._FilterDatabase" localSheetId="11" hidden="1">'09 Sous-phases'!$B$8:$J$8</definedName>
    <definedName name="_xlnm._FilterDatabase" localSheetId="12" hidden="1">'10 Chantiers'!$B$8:$I$8</definedName>
    <definedName name="_xlnm._FilterDatabase" localSheetId="13" hidden="1">'11 Instances'!$B$8:$J$8</definedName>
    <definedName name="_xlnm._FilterDatabase" localSheetId="14" hidden="1">'12 Membres'!$B$8:$E$8</definedName>
    <definedName name="_xlnm._FilterDatabase" localSheetId="15" hidden="1">'13 Jalons'!$B$8:$K$8</definedName>
    <definedName name="_xlnm._FilterDatabase" localSheetId="16" hidden="1">'14 Livrables'!$B$8:$H$8</definedName>
    <definedName name="_xlnm.Print_Titles" localSheetId="3">'01 Équipes'!$8:$8</definedName>
    <definedName name="_xlnm.Print_Titles" localSheetId="4">'02 Rôles'!$8:$8</definedName>
    <definedName name="_xlnm.Print_Titles" localSheetId="5">'03 Personnes'!$8:$8</definedName>
    <definedName name="_xlnm.Print_Titles" localSheetId="6">'04 Affectations'!$8:$8</definedName>
    <definedName name="_xlnm.Print_Titles" localSheetId="9">'07 Lots'!$8:$8</definedName>
    <definedName name="_xlnm.Print_Titles" localSheetId="10">'08 Phases'!$8:$8</definedName>
    <definedName name="_xlnm.Print_Titles" localSheetId="11">'09 Sous-phases'!$8:$8</definedName>
    <definedName name="_xlnm.Print_Titles" localSheetId="12">'10 Chantiers'!$8:$8</definedName>
    <definedName name="_xlnm.Print_Titles" localSheetId="13">'11 Instances'!$8:$8</definedName>
    <definedName name="_xlnm.Print_Titles" localSheetId="14">'12 Membres'!$8:$8</definedName>
    <definedName name="_xlnm.Print_Titles" localSheetId="15">'13 Jalons'!$8:$8</definedName>
    <definedName name="_xlnm.Print_Titles" localSheetId="16">'14 Livrables'!$8:$8</definedName>
    <definedName name="L_Chantiers">'10 Chantiers'!$C$9:$C$38</definedName>
    <definedName name="L_Couleur">Listes!$H$2:$H$9</definedName>
    <definedName name="L_Equipes">'01 Équipes'!$B$9:$B$38</definedName>
    <definedName name="L_Frequence">Listes!$F$2:$F$8</definedName>
    <definedName name="L_Fuseau">Listes!$K$2:$K$6</definedName>
    <definedName name="L_Instances">'11 Instances'!$B$9:$B$28</definedName>
    <definedName name="L_Lots">'07 Lots'!$B$9:$B$38</definedName>
    <definedName name="L_Niveau">Listes!$G$2:$G$5</definedName>
    <definedName name="L_OuiNon">Listes!$E$2:$E$3</definedName>
    <definedName name="L_Permission">Listes!$D$2:$D$6</definedName>
    <definedName name="L_Personnes">'03 Personnes'!$B$9:$B$158</definedName>
    <definedName name="L_Phases">'08 Phases'!$B$9:$B$38</definedName>
    <definedName name="L_RoleInstance">Listes!$I$2:$I$5</definedName>
    <definedName name="L_Roles">'02 Rôles'!$B$9:$B$48</definedName>
    <definedName name="L_Rubriques">Listes!$L$2:$L$9</definedName>
    <definedName name="L_RubriquesPaires">Listes!$M$2:$M$4</definedName>
    <definedName name="L_SousPhases">'09 Sous-phases'!$B$9:$B$88</definedName>
    <definedName name="L_StatutChantier">Listes!$C$2:$C$3</definedName>
    <definedName name="L_StatutLot">Listes!$A$2:$A$4</definedName>
    <definedName name="L_StatutPhase">Listes!$B$2:$B$4</definedName>
    <definedName name="L_StatutProjet">Listes!$J$2:$J$4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7" l="1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K108" i="16"/>
  <c r="B108" i="16"/>
  <c r="K107" i="16"/>
  <c r="B107" i="16"/>
  <c r="K106" i="16"/>
  <c r="B106" i="16"/>
  <c r="K105" i="16"/>
  <c r="B105" i="16"/>
  <c r="K104" i="16"/>
  <c r="B104" i="16"/>
  <c r="K103" i="16"/>
  <c r="B103" i="16"/>
  <c r="K102" i="16"/>
  <c r="B102" i="16"/>
  <c r="K101" i="16"/>
  <c r="B101" i="16"/>
  <c r="K100" i="16"/>
  <c r="B100" i="16"/>
  <c r="K99" i="16"/>
  <c r="B99" i="16"/>
  <c r="K98" i="16"/>
  <c r="B98" i="16"/>
  <c r="K97" i="16"/>
  <c r="B97" i="16"/>
  <c r="K96" i="16"/>
  <c r="B96" i="16"/>
  <c r="K95" i="16"/>
  <c r="B95" i="16"/>
  <c r="K94" i="16"/>
  <c r="B94" i="16"/>
  <c r="K93" i="16"/>
  <c r="B93" i="16"/>
  <c r="K92" i="16"/>
  <c r="B92" i="16"/>
  <c r="K91" i="16"/>
  <c r="B91" i="16"/>
  <c r="K90" i="16"/>
  <c r="B90" i="16"/>
  <c r="K89" i="16"/>
  <c r="B89" i="16"/>
  <c r="K88" i="16"/>
  <c r="B88" i="16"/>
  <c r="K87" i="16"/>
  <c r="B87" i="16"/>
  <c r="K86" i="16"/>
  <c r="B86" i="16"/>
  <c r="K85" i="16"/>
  <c r="B85" i="16"/>
  <c r="K84" i="16"/>
  <c r="B84" i="16"/>
  <c r="K83" i="16"/>
  <c r="B83" i="16"/>
  <c r="K82" i="16"/>
  <c r="B82" i="16"/>
  <c r="K81" i="16"/>
  <c r="B81" i="16"/>
  <c r="K80" i="16"/>
  <c r="B80" i="16"/>
  <c r="K79" i="16"/>
  <c r="B79" i="16"/>
  <c r="K78" i="16"/>
  <c r="B78" i="16"/>
  <c r="K77" i="16"/>
  <c r="B77" i="16"/>
  <c r="K76" i="16"/>
  <c r="B76" i="16"/>
  <c r="K75" i="16"/>
  <c r="B75" i="16"/>
  <c r="K74" i="16"/>
  <c r="B74" i="16"/>
  <c r="K73" i="16"/>
  <c r="B73" i="16"/>
  <c r="K72" i="16"/>
  <c r="B72" i="16"/>
  <c r="K71" i="16"/>
  <c r="B71" i="16"/>
  <c r="K70" i="16"/>
  <c r="B70" i="16"/>
  <c r="K69" i="16"/>
  <c r="B69" i="16"/>
  <c r="K68" i="16"/>
  <c r="B68" i="16"/>
  <c r="K67" i="16"/>
  <c r="B67" i="16"/>
  <c r="K66" i="16"/>
  <c r="B66" i="16"/>
  <c r="K65" i="16"/>
  <c r="B65" i="16"/>
  <c r="K64" i="16"/>
  <c r="B64" i="16"/>
  <c r="K63" i="16"/>
  <c r="B63" i="16"/>
  <c r="K62" i="16"/>
  <c r="B62" i="16"/>
  <c r="K61" i="16"/>
  <c r="B61" i="16"/>
  <c r="K60" i="16"/>
  <c r="B60" i="16"/>
  <c r="K59" i="16"/>
  <c r="B59" i="16"/>
  <c r="K58" i="16"/>
  <c r="B58" i="16"/>
  <c r="K57" i="16"/>
  <c r="B57" i="16"/>
  <c r="K56" i="16"/>
  <c r="B56" i="16"/>
  <c r="K55" i="16"/>
  <c r="B55" i="16"/>
  <c r="K54" i="16"/>
  <c r="B54" i="16"/>
  <c r="K53" i="16"/>
  <c r="B53" i="16"/>
  <c r="K52" i="16"/>
  <c r="B52" i="16"/>
  <c r="K51" i="16"/>
  <c r="B51" i="16"/>
  <c r="K50" i="16"/>
  <c r="B50" i="16"/>
  <c r="K49" i="16"/>
  <c r="B49" i="16"/>
  <c r="K48" i="16"/>
  <c r="B48" i="16"/>
  <c r="K47" i="16"/>
  <c r="B47" i="16"/>
  <c r="K46" i="16"/>
  <c r="B46" i="16"/>
  <c r="K45" i="16"/>
  <c r="B45" i="16"/>
  <c r="K44" i="16"/>
  <c r="B44" i="16"/>
  <c r="K43" i="16"/>
  <c r="B43" i="16"/>
  <c r="K42" i="16"/>
  <c r="B42" i="16"/>
  <c r="K41" i="16"/>
  <c r="B41" i="16"/>
  <c r="K40" i="16"/>
  <c r="B40" i="16"/>
  <c r="K39" i="16"/>
  <c r="B39" i="16"/>
  <c r="K38" i="16"/>
  <c r="B38" i="16"/>
  <c r="K37" i="16"/>
  <c r="B37" i="16"/>
  <c r="K36" i="16"/>
  <c r="B36" i="16"/>
  <c r="K35" i="16"/>
  <c r="B35" i="16"/>
  <c r="K34" i="16"/>
  <c r="B34" i="16"/>
  <c r="K33" i="16"/>
  <c r="B33" i="16"/>
  <c r="K32" i="16"/>
  <c r="B32" i="16"/>
  <c r="K31" i="16"/>
  <c r="B31" i="16"/>
  <c r="K30" i="16"/>
  <c r="B30" i="16"/>
  <c r="K29" i="16"/>
  <c r="B29" i="16"/>
  <c r="K28" i="16"/>
  <c r="B28" i="16"/>
  <c r="K27" i="16"/>
  <c r="B27" i="16"/>
  <c r="K26" i="16"/>
  <c r="B26" i="16"/>
  <c r="K25" i="16"/>
  <c r="B25" i="16"/>
  <c r="K24" i="16"/>
  <c r="B24" i="16"/>
  <c r="K23" i="16"/>
  <c r="B23" i="16"/>
  <c r="K22" i="16"/>
  <c r="B22" i="16"/>
  <c r="K21" i="16"/>
  <c r="B21" i="16"/>
  <c r="K20" i="16"/>
  <c r="B20" i="16"/>
  <c r="K19" i="16"/>
  <c r="B19" i="16"/>
  <c r="K18" i="16"/>
  <c r="B18" i="16"/>
  <c r="K17" i="16"/>
  <c r="B17" i="16"/>
  <c r="K16" i="16"/>
  <c r="B16" i="16"/>
  <c r="K15" i="16"/>
  <c r="B15" i="16"/>
  <c r="K14" i="16"/>
  <c r="B14" i="16"/>
  <c r="K13" i="16"/>
  <c r="B13" i="16"/>
  <c r="K12" i="16"/>
  <c r="B12" i="16"/>
  <c r="K11" i="16"/>
  <c r="B11" i="16"/>
  <c r="K10" i="16"/>
  <c r="B10" i="16"/>
  <c r="K9" i="16"/>
  <c r="B9" i="16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J28" i="14"/>
  <c r="I28" i="14"/>
  <c r="E28" i="14"/>
  <c r="J27" i="14"/>
  <c r="I27" i="14"/>
  <c r="E27" i="14"/>
  <c r="J26" i="14"/>
  <c r="I26" i="14"/>
  <c r="E26" i="14"/>
  <c r="J25" i="14"/>
  <c r="I25" i="14"/>
  <c r="E25" i="14"/>
  <c r="J24" i="14"/>
  <c r="I24" i="14"/>
  <c r="E24" i="14"/>
  <c r="J23" i="14"/>
  <c r="I23" i="14"/>
  <c r="E23" i="14"/>
  <c r="J22" i="14"/>
  <c r="I22" i="14"/>
  <c r="E22" i="14"/>
  <c r="J21" i="14"/>
  <c r="I21" i="14"/>
  <c r="E21" i="14"/>
  <c r="J20" i="14"/>
  <c r="I20" i="14"/>
  <c r="E20" i="14"/>
  <c r="J19" i="14"/>
  <c r="I19" i="14"/>
  <c r="E19" i="14"/>
  <c r="J18" i="14"/>
  <c r="I18" i="14"/>
  <c r="E18" i="14"/>
  <c r="J17" i="14"/>
  <c r="I17" i="14"/>
  <c r="E17" i="14"/>
  <c r="J16" i="14"/>
  <c r="I16" i="14"/>
  <c r="E16" i="14"/>
  <c r="J15" i="14"/>
  <c r="I15" i="14"/>
  <c r="E15" i="14"/>
  <c r="J14" i="14"/>
  <c r="I14" i="14"/>
  <c r="E14" i="14"/>
  <c r="J13" i="14"/>
  <c r="I13" i="14"/>
  <c r="E13" i="14"/>
  <c r="J12" i="14"/>
  <c r="I12" i="14"/>
  <c r="E12" i="14"/>
  <c r="J11" i="14"/>
  <c r="I11" i="14"/>
  <c r="E11" i="14"/>
  <c r="J10" i="14"/>
  <c r="I10" i="14"/>
  <c r="E10" i="14"/>
  <c r="J9" i="14"/>
  <c r="I9" i="14"/>
  <c r="E9" i="14"/>
  <c r="M38" i="13"/>
  <c r="B38" i="13"/>
  <c r="M37" i="13"/>
  <c r="B37" i="13"/>
  <c r="M36" i="13"/>
  <c r="B36" i="13"/>
  <c r="M35" i="13"/>
  <c r="B35" i="13"/>
  <c r="M34" i="13"/>
  <c r="B34" i="13"/>
  <c r="M33" i="13"/>
  <c r="B33" i="13"/>
  <c r="M32" i="13"/>
  <c r="B32" i="13"/>
  <c r="M31" i="13"/>
  <c r="B31" i="13"/>
  <c r="M30" i="13"/>
  <c r="B30" i="13"/>
  <c r="M29" i="13"/>
  <c r="B29" i="13"/>
  <c r="M28" i="13"/>
  <c r="B28" i="13"/>
  <c r="M27" i="13"/>
  <c r="B27" i="13"/>
  <c r="M26" i="13"/>
  <c r="B26" i="13"/>
  <c r="M25" i="13"/>
  <c r="B25" i="13"/>
  <c r="M24" i="13"/>
  <c r="B24" i="13"/>
  <c r="M23" i="13"/>
  <c r="B23" i="13"/>
  <c r="M22" i="13"/>
  <c r="B22" i="13"/>
  <c r="M21" i="13"/>
  <c r="B21" i="13"/>
  <c r="M20" i="13"/>
  <c r="B20" i="13"/>
  <c r="M19" i="13"/>
  <c r="B19" i="13"/>
  <c r="M18" i="13"/>
  <c r="B18" i="13"/>
  <c r="M17" i="13"/>
  <c r="B17" i="13"/>
  <c r="M16" i="13"/>
  <c r="B16" i="13"/>
  <c r="M15" i="13"/>
  <c r="B15" i="13"/>
  <c r="M14" i="13"/>
  <c r="B14" i="13"/>
  <c r="M13" i="13"/>
  <c r="B13" i="13"/>
  <c r="M12" i="13"/>
  <c r="B12" i="13"/>
  <c r="M11" i="13"/>
  <c r="B11" i="13"/>
  <c r="M10" i="13"/>
  <c r="B10" i="13"/>
  <c r="M9" i="13"/>
  <c r="B9" i="13"/>
  <c r="J88" i="12"/>
  <c r="B88" i="12"/>
  <c r="J87" i="12"/>
  <c r="B87" i="12"/>
  <c r="J86" i="12"/>
  <c r="B86" i="12"/>
  <c r="J85" i="12"/>
  <c r="B85" i="12"/>
  <c r="J84" i="12"/>
  <c r="B84" i="12"/>
  <c r="J83" i="12"/>
  <c r="B83" i="12"/>
  <c r="J82" i="12"/>
  <c r="B82" i="12"/>
  <c r="C96" i="3" s="1"/>
  <c r="J81" i="12"/>
  <c r="B81" i="12"/>
  <c r="C95" i="3" s="1"/>
  <c r="J80" i="12"/>
  <c r="B80" i="12"/>
  <c r="J79" i="12"/>
  <c r="B79" i="12"/>
  <c r="J78" i="12"/>
  <c r="B78" i="12"/>
  <c r="J77" i="12"/>
  <c r="B77" i="12"/>
  <c r="J76" i="12"/>
  <c r="B76" i="12"/>
  <c r="J75" i="12"/>
  <c r="B75" i="12"/>
  <c r="J74" i="12"/>
  <c r="B74" i="12"/>
  <c r="J73" i="12"/>
  <c r="B73" i="12"/>
  <c r="J72" i="12"/>
  <c r="B72" i="12"/>
  <c r="J71" i="12"/>
  <c r="B71" i="12"/>
  <c r="J70" i="12"/>
  <c r="B70" i="12"/>
  <c r="C84" i="3" s="1"/>
  <c r="J69" i="12"/>
  <c r="B69" i="12"/>
  <c r="C83" i="3" s="1"/>
  <c r="J68" i="12"/>
  <c r="B68" i="12"/>
  <c r="J67" i="12"/>
  <c r="B67" i="12"/>
  <c r="J66" i="12"/>
  <c r="B66" i="12"/>
  <c r="J65" i="12"/>
  <c r="B65" i="12"/>
  <c r="J64" i="12"/>
  <c r="B64" i="12"/>
  <c r="J63" i="12"/>
  <c r="B63" i="12"/>
  <c r="J62" i="12"/>
  <c r="B62" i="12"/>
  <c r="J61" i="12"/>
  <c r="B61" i="12"/>
  <c r="J60" i="12"/>
  <c r="B60" i="12"/>
  <c r="J59" i="12"/>
  <c r="B59" i="12"/>
  <c r="J58" i="12"/>
  <c r="B58" i="12"/>
  <c r="C72" i="3" s="1"/>
  <c r="J57" i="12"/>
  <c r="B57" i="12"/>
  <c r="C71" i="3" s="1"/>
  <c r="J56" i="12"/>
  <c r="B56" i="12"/>
  <c r="J55" i="12"/>
  <c r="B55" i="12"/>
  <c r="J54" i="12"/>
  <c r="B54" i="12"/>
  <c r="J53" i="12"/>
  <c r="B53" i="12"/>
  <c r="J52" i="12"/>
  <c r="B52" i="12"/>
  <c r="J51" i="12"/>
  <c r="B51" i="12"/>
  <c r="J50" i="12"/>
  <c r="B50" i="12"/>
  <c r="J49" i="12"/>
  <c r="B49" i="12"/>
  <c r="J48" i="12"/>
  <c r="B48" i="12"/>
  <c r="J47" i="12"/>
  <c r="B47" i="12"/>
  <c r="J46" i="12"/>
  <c r="B46" i="12"/>
  <c r="C60" i="3" s="1"/>
  <c r="J45" i="12"/>
  <c r="B45" i="12"/>
  <c r="C59" i="3" s="1"/>
  <c r="J44" i="12"/>
  <c r="B44" i="12"/>
  <c r="J43" i="12"/>
  <c r="B43" i="12"/>
  <c r="J42" i="12"/>
  <c r="B42" i="12"/>
  <c r="J41" i="12"/>
  <c r="B41" i="12"/>
  <c r="J40" i="12"/>
  <c r="B40" i="12"/>
  <c r="J39" i="12"/>
  <c r="B39" i="12"/>
  <c r="J38" i="12"/>
  <c r="B38" i="12"/>
  <c r="J37" i="12"/>
  <c r="B37" i="12"/>
  <c r="J36" i="12"/>
  <c r="B36" i="12"/>
  <c r="J35" i="12"/>
  <c r="B35" i="12"/>
  <c r="J34" i="12"/>
  <c r="B34" i="12"/>
  <c r="J33" i="12"/>
  <c r="B33" i="12"/>
  <c r="C47" i="3" s="1"/>
  <c r="J32" i="12"/>
  <c r="B32" i="12"/>
  <c r="J31" i="12"/>
  <c r="B31" i="12"/>
  <c r="J30" i="12"/>
  <c r="B30" i="12"/>
  <c r="J29" i="12"/>
  <c r="B29" i="12"/>
  <c r="C43" i="3" s="1"/>
  <c r="J28" i="12"/>
  <c r="B28" i="12"/>
  <c r="J27" i="12"/>
  <c r="B27" i="12"/>
  <c r="J26" i="12"/>
  <c r="B26" i="12"/>
  <c r="J25" i="12"/>
  <c r="B25" i="12"/>
  <c r="J24" i="12"/>
  <c r="B24" i="12"/>
  <c r="J23" i="12"/>
  <c r="B23" i="12"/>
  <c r="J22" i="12"/>
  <c r="B22" i="12"/>
  <c r="J21" i="12"/>
  <c r="B21" i="12"/>
  <c r="C35" i="3" s="1"/>
  <c r="J20" i="12"/>
  <c r="B20" i="12"/>
  <c r="J19" i="12"/>
  <c r="B19" i="12"/>
  <c r="J18" i="12"/>
  <c r="B18" i="12"/>
  <c r="J17" i="12"/>
  <c r="B17" i="12"/>
  <c r="C31" i="3" s="1"/>
  <c r="J16" i="12"/>
  <c r="B16" i="12"/>
  <c r="J15" i="12"/>
  <c r="B15" i="12"/>
  <c r="J14" i="12"/>
  <c r="B14" i="12"/>
  <c r="J13" i="12"/>
  <c r="B13" i="12"/>
  <c r="J12" i="12"/>
  <c r="B12" i="12"/>
  <c r="J11" i="12"/>
  <c r="B11" i="12"/>
  <c r="J10" i="12"/>
  <c r="B10" i="12"/>
  <c r="J9" i="12"/>
  <c r="B9" i="12"/>
  <c r="C23" i="3" s="1"/>
  <c r="J38" i="11"/>
  <c r="B38" i="11"/>
  <c r="J37" i="11"/>
  <c r="B37" i="11"/>
  <c r="B51" i="3" s="1"/>
  <c r="J36" i="11"/>
  <c r="B36" i="11"/>
  <c r="J35" i="11"/>
  <c r="B35" i="11"/>
  <c r="J34" i="11"/>
  <c r="B34" i="11"/>
  <c r="B48" i="3" s="1"/>
  <c r="J33" i="11"/>
  <c r="B33" i="11"/>
  <c r="B47" i="3" s="1"/>
  <c r="J32" i="11"/>
  <c r="B32" i="11"/>
  <c r="J31" i="11"/>
  <c r="B31" i="11"/>
  <c r="J30" i="11"/>
  <c r="B30" i="11"/>
  <c r="J29" i="11"/>
  <c r="B29" i="11"/>
  <c r="B43" i="3" s="1"/>
  <c r="J28" i="11"/>
  <c r="B28" i="11"/>
  <c r="B42" i="3" s="1"/>
  <c r="J27" i="11"/>
  <c r="B27" i="11"/>
  <c r="J26" i="11"/>
  <c r="B26" i="11"/>
  <c r="J25" i="11"/>
  <c r="B25" i="11"/>
  <c r="B39" i="3" s="1"/>
  <c r="J24" i="11"/>
  <c r="B24" i="11"/>
  <c r="J23" i="11"/>
  <c r="B23" i="11"/>
  <c r="J22" i="11"/>
  <c r="B22" i="11"/>
  <c r="B36" i="3" s="1"/>
  <c r="J21" i="11"/>
  <c r="B21" i="11"/>
  <c r="B35" i="3" s="1"/>
  <c r="J20" i="11"/>
  <c r="B20" i="11"/>
  <c r="J19" i="11"/>
  <c r="B19" i="11"/>
  <c r="J18" i="11"/>
  <c r="B18" i="11"/>
  <c r="J17" i="11"/>
  <c r="B17" i="11"/>
  <c r="B31" i="3" s="1"/>
  <c r="J16" i="11"/>
  <c r="B16" i="11"/>
  <c r="B30" i="3" s="1"/>
  <c r="J15" i="11"/>
  <c r="B15" i="11"/>
  <c r="J14" i="11"/>
  <c r="B14" i="11"/>
  <c r="J13" i="11"/>
  <c r="B13" i="11"/>
  <c r="B27" i="3" s="1"/>
  <c r="J12" i="11"/>
  <c r="B12" i="11"/>
  <c r="J11" i="11"/>
  <c r="B11" i="11"/>
  <c r="J10" i="11"/>
  <c r="B10" i="11"/>
  <c r="B24" i="3" s="1"/>
  <c r="J9" i="11"/>
  <c r="B9" i="11"/>
  <c r="B23" i="3" s="1"/>
  <c r="I38" i="10"/>
  <c r="B38" i="10"/>
  <c r="I37" i="10"/>
  <c r="B37" i="10"/>
  <c r="I36" i="10"/>
  <c r="B36" i="10"/>
  <c r="I35" i="10"/>
  <c r="B35" i="10"/>
  <c r="I34" i="10"/>
  <c r="B34" i="10"/>
  <c r="I33" i="10"/>
  <c r="B33" i="10"/>
  <c r="I32" i="10"/>
  <c r="B32" i="10"/>
  <c r="I31" i="10"/>
  <c r="B31" i="10"/>
  <c r="I30" i="10"/>
  <c r="B30" i="10"/>
  <c r="I29" i="10"/>
  <c r="B29" i="10"/>
  <c r="I28" i="10"/>
  <c r="B28" i="10"/>
  <c r="I27" i="10"/>
  <c r="B27" i="10"/>
  <c r="I26" i="10"/>
  <c r="B26" i="10"/>
  <c r="I25" i="10"/>
  <c r="B25" i="10"/>
  <c r="I24" i="10"/>
  <c r="B24" i="10"/>
  <c r="I23" i="10"/>
  <c r="B23" i="10"/>
  <c r="I22" i="10"/>
  <c r="B22" i="10"/>
  <c r="I21" i="10"/>
  <c r="B21" i="10"/>
  <c r="I20" i="10"/>
  <c r="B20" i="10"/>
  <c r="I19" i="10"/>
  <c r="B19" i="10"/>
  <c r="I18" i="10"/>
  <c r="B18" i="10"/>
  <c r="I17" i="10"/>
  <c r="B17" i="10"/>
  <c r="I16" i="10"/>
  <c r="B16" i="10"/>
  <c r="I15" i="10"/>
  <c r="B15" i="10"/>
  <c r="I14" i="10"/>
  <c r="B14" i="10"/>
  <c r="I13" i="10"/>
  <c r="B13" i="10"/>
  <c r="I12" i="10"/>
  <c r="B12" i="10"/>
  <c r="I11" i="10"/>
  <c r="B11" i="10"/>
  <c r="I10" i="10"/>
  <c r="B10" i="10"/>
  <c r="I9" i="10"/>
  <c r="B9" i="10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D26" i="8"/>
  <c r="H208" i="7"/>
  <c r="G208" i="7"/>
  <c r="D208" i="7"/>
  <c r="H207" i="7"/>
  <c r="G207" i="7"/>
  <c r="D207" i="7"/>
  <c r="H206" i="7"/>
  <c r="G206" i="7"/>
  <c r="D206" i="7"/>
  <c r="H205" i="7"/>
  <c r="G205" i="7"/>
  <c r="D205" i="7"/>
  <c r="H204" i="7"/>
  <c r="G204" i="7"/>
  <c r="D204" i="7"/>
  <c r="H203" i="7"/>
  <c r="G203" i="7"/>
  <c r="D203" i="7"/>
  <c r="H202" i="7"/>
  <c r="G202" i="7"/>
  <c r="D202" i="7"/>
  <c r="H201" i="7"/>
  <c r="G201" i="7"/>
  <c r="D201" i="7"/>
  <c r="H200" i="7"/>
  <c r="G200" i="7"/>
  <c r="D200" i="7"/>
  <c r="H199" i="7"/>
  <c r="G199" i="7"/>
  <c r="D199" i="7"/>
  <c r="H198" i="7"/>
  <c r="G198" i="7"/>
  <c r="D198" i="7"/>
  <c r="H197" i="7"/>
  <c r="G197" i="7"/>
  <c r="D197" i="7"/>
  <c r="H196" i="7"/>
  <c r="G196" i="7"/>
  <c r="D196" i="7"/>
  <c r="H195" i="7"/>
  <c r="G195" i="7"/>
  <c r="D195" i="7"/>
  <c r="H194" i="7"/>
  <c r="G194" i="7"/>
  <c r="D194" i="7"/>
  <c r="H193" i="7"/>
  <c r="G193" i="7"/>
  <c r="D193" i="7"/>
  <c r="H192" i="7"/>
  <c r="G192" i="7"/>
  <c r="D192" i="7"/>
  <c r="H191" i="7"/>
  <c r="G191" i="7"/>
  <c r="D191" i="7"/>
  <c r="H190" i="7"/>
  <c r="G190" i="7"/>
  <c r="D190" i="7"/>
  <c r="H189" i="7"/>
  <c r="G189" i="7"/>
  <c r="D189" i="7"/>
  <c r="H188" i="7"/>
  <c r="G188" i="7"/>
  <c r="D188" i="7"/>
  <c r="H187" i="7"/>
  <c r="G187" i="7"/>
  <c r="D187" i="7"/>
  <c r="H186" i="7"/>
  <c r="G186" i="7"/>
  <c r="D186" i="7"/>
  <c r="H185" i="7"/>
  <c r="G185" i="7"/>
  <c r="D185" i="7"/>
  <c r="H184" i="7"/>
  <c r="G184" i="7"/>
  <c r="D184" i="7"/>
  <c r="H183" i="7"/>
  <c r="G183" i="7"/>
  <c r="D183" i="7"/>
  <c r="H182" i="7"/>
  <c r="G182" i="7"/>
  <c r="D182" i="7"/>
  <c r="H181" i="7"/>
  <c r="G181" i="7"/>
  <c r="D181" i="7"/>
  <c r="H180" i="7"/>
  <c r="G180" i="7"/>
  <c r="D180" i="7"/>
  <c r="H179" i="7"/>
  <c r="G179" i="7"/>
  <c r="D179" i="7"/>
  <c r="H178" i="7"/>
  <c r="G178" i="7"/>
  <c r="D178" i="7"/>
  <c r="H177" i="7"/>
  <c r="G177" i="7"/>
  <c r="D177" i="7"/>
  <c r="H176" i="7"/>
  <c r="G176" i="7"/>
  <c r="D176" i="7"/>
  <c r="H175" i="7"/>
  <c r="G175" i="7"/>
  <c r="D175" i="7"/>
  <c r="H174" i="7"/>
  <c r="G174" i="7"/>
  <c r="D174" i="7"/>
  <c r="H173" i="7"/>
  <c r="G173" i="7"/>
  <c r="D173" i="7"/>
  <c r="H172" i="7"/>
  <c r="G172" i="7"/>
  <c r="D172" i="7"/>
  <c r="H171" i="7"/>
  <c r="G171" i="7"/>
  <c r="D171" i="7"/>
  <c r="H170" i="7"/>
  <c r="G170" i="7"/>
  <c r="D170" i="7"/>
  <c r="H169" i="7"/>
  <c r="G169" i="7"/>
  <c r="D169" i="7"/>
  <c r="H168" i="7"/>
  <c r="G168" i="7"/>
  <c r="D168" i="7"/>
  <c r="H167" i="7"/>
  <c r="G167" i="7"/>
  <c r="D167" i="7"/>
  <c r="H166" i="7"/>
  <c r="G166" i="7"/>
  <c r="D166" i="7"/>
  <c r="H165" i="7"/>
  <c r="G165" i="7"/>
  <c r="D165" i="7"/>
  <c r="H164" i="7"/>
  <c r="G164" i="7"/>
  <c r="D164" i="7"/>
  <c r="H163" i="7"/>
  <c r="G163" i="7"/>
  <c r="D163" i="7"/>
  <c r="H162" i="7"/>
  <c r="G162" i="7"/>
  <c r="D162" i="7"/>
  <c r="H161" i="7"/>
  <c r="G161" i="7"/>
  <c r="D161" i="7"/>
  <c r="H160" i="7"/>
  <c r="G160" i="7"/>
  <c r="D160" i="7"/>
  <c r="H159" i="7"/>
  <c r="G159" i="7"/>
  <c r="D159" i="7"/>
  <c r="H158" i="7"/>
  <c r="G158" i="7"/>
  <c r="D158" i="7"/>
  <c r="H157" i="7"/>
  <c r="G157" i="7"/>
  <c r="D157" i="7"/>
  <c r="H156" i="7"/>
  <c r="G156" i="7"/>
  <c r="D156" i="7"/>
  <c r="H155" i="7"/>
  <c r="G155" i="7"/>
  <c r="D155" i="7"/>
  <c r="H154" i="7"/>
  <c r="G154" i="7"/>
  <c r="D154" i="7"/>
  <c r="H153" i="7"/>
  <c r="G153" i="7"/>
  <c r="D153" i="7"/>
  <c r="H152" i="7"/>
  <c r="G152" i="7"/>
  <c r="D152" i="7"/>
  <c r="H151" i="7"/>
  <c r="G151" i="7"/>
  <c r="D151" i="7"/>
  <c r="H150" i="7"/>
  <c r="G150" i="7"/>
  <c r="D150" i="7"/>
  <c r="H149" i="7"/>
  <c r="G149" i="7"/>
  <c r="D149" i="7"/>
  <c r="H148" i="7"/>
  <c r="G148" i="7"/>
  <c r="D148" i="7"/>
  <c r="H147" i="7"/>
  <c r="G147" i="7"/>
  <c r="D147" i="7"/>
  <c r="H146" i="7"/>
  <c r="G146" i="7"/>
  <c r="D146" i="7"/>
  <c r="H145" i="7"/>
  <c r="G145" i="7"/>
  <c r="D145" i="7"/>
  <c r="H144" i="7"/>
  <c r="G144" i="7"/>
  <c r="D144" i="7"/>
  <c r="H143" i="7"/>
  <c r="G143" i="7"/>
  <c r="D143" i="7"/>
  <c r="H142" i="7"/>
  <c r="G142" i="7"/>
  <c r="D142" i="7"/>
  <c r="H141" i="7"/>
  <c r="G141" i="7"/>
  <c r="D141" i="7"/>
  <c r="H140" i="7"/>
  <c r="G140" i="7"/>
  <c r="D140" i="7"/>
  <c r="H139" i="7"/>
  <c r="G139" i="7"/>
  <c r="D139" i="7"/>
  <c r="H138" i="7"/>
  <c r="G138" i="7"/>
  <c r="D138" i="7"/>
  <c r="H137" i="7"/>
  <c r="G137" i="7"/>
  <c r="D137" i="7"/>
  <c r="H136" i="7"/>
  <c r="G136" i="7"/>
  <c r="D136" i="7"/>
  <c r="H135" i="7"/>
  <c r="G135" i="7"/>
  <c r="D135" i="7"/>
  <c r="H134" i="7"/>
  <c r="G134" i="7"/>
  <c r="D134" i="7"/>
  <c r="H133" i="7"/>
  <c r="G133" i="7"/>
  <c r="D133" i="7"/>
  <c r="H132" i="7"/>
  <c r="G132" i="7"/>
  <c r="D132" i="7"/>
  <c r="H131" i="7"/>
  <c r="G131" i="7"/>
  <c r="D131" i="7"/>
  <c r="H130" i="7"/>
  <c r="G130" i="7"/>
  <c r="D130" i="7"/>
  <c r="H129" i="7"/>
  <c r="G129" i="7"/>
  <c r="D129" i="7"/>
  <c r="H128" i="7"/>
  <c r="G128" i="7"/>
  <c r="D128" i="7"/>
  <c r="H127" i="7"/>
  <c r="G127" i="7"/>
  <c r="D127" i="7"/>
  <c r="H126" i="7"/>
  <c r="G126" i="7"/>
  <c r="D126" i="7"/>
  <c r="H125" i="7"/>
  <c r="G125" i="7"/>
  <c r="D125" i="7"/>
  <c r="H124" i="7"/>
  <c r="G124" i="7"/>
  <c r="D124" i="7"/>
  <c r="H123" i="7"/>
  <c r="G123" i="7"/>
  <c r="D123" i="7"/>
  <c r="H122" i="7"/>
  <c r="G122" i="7"/>
  <c r="D122" i="7"/>
  <c r="H121" i="7"/>
  <c r="G121" i="7"/>
  <c r="D121" i="7"/>
  <c r="H120" i="7"/>
  <c r="G120" i="7"/>
  <c r="D120" i="7"/>
  <c r="H119" i="7"/>
  <c r="G119" i="7"/>
  <c r="D119" i="7"/>
  <c r="H118" i="7"/>
  <c r="G118" i="7"/>
  <c r="D118" i="7"/>
  <c r="H117" i="7"/>
  <c r="G117" i="7"/>
  <c r="D117" i="7"/>
  <c r="H116" i="7"/>
  <c r="G116" i="7"/>
  <c r="D116" i="7"/>
  <c r="H115" i="7"/>
  <c r="G115" i="7"/>
  <c r="D115" i="7"/>
  <c r="H114" i="7"/>
  <c r="G114" i="7"/>
  <c r="D114" i="7"/>
  <c r="H113" i="7"/>
  <c r="G113" i="7"/>
  <c r="D113" i="7"/>
  <c r="H112" i="7"/>
  <c r="G112" i="7"/>
  <c r="D112" i="7"/>
  <c r="H111" i="7"/>
  <c r="G111" i="7"/>
  <c r="D111" i="7"/>
  <c r="H110" i="7"/>
  <c r="G110" i="7"/>
  <c r="D110" i="7"/>
  <c r="H109" i="7"/>
  <c r="G109" i="7"/>
  <c r="D109" i="7"/>
  <c r="H108" i="7"/>
  <c r="G108" i="7"/>
  <c r="D108" i="7"/>
  <c r="H107" i="7"/>
  <c r="G107" i="7"/>
  <c r="D107" i="7"/>
  <c r="H106" i="7"/>
  <c r="G106" i="7"/>
  <c r="D106" i="7"/>
  <c r="H105" i="7"/>
  <c r="G105" i="7"/>
  <c r="D105" i="7"/>
  <c r="H104" i="7"/>
  <c r="G104" i="7"/>
  <c r="D104" i="7"/>
  <c r="H103" i="7"/>
  <c r="G103" i="7"/>
  <c r="D103" i="7"/>
  <c r="H102" i="7"/>
  <c r="G102" i="7"/>
  <c r="D102" i="7"/>
  <c r="H101" i="7"/>
  <c r="G101" i="7"/>
  <c r="D101" i="7"/>
  <c r="H100" i="7"/>
  <c r="G100" i="7"/>
  <c r="D100" i="7"/>
  <c r="H99" i="7"/>
  <c r="G99" i="7"/>
  <c r="D99" i="7"/>
  <c r="H98" i="7"/>
  <c r="G98" i="7"/>
  <c r="D98" i="7"/>
  <c r="H97" i="7"/>
  <c r="G97" i="7"/>
  <c r="D97" i="7"/>
  <c r="H96" i="7"/>
  <c r="G96" i="7"/>
  <c r="D96" i="7"/>
  <c r="H95" i="7"/>
  <c r="G95" i="7"/>
  <c r="D95" i="7"/>
  <c r="H94" i="7"/>
  <c r="G94" i="7"/>
  <c r="D94" i="7"/>
  <c r="H93" i="7"/>
  <c r="G93" i="7"/>
  <c r="D93" i="7"/>
  <c r="H92" i="7"/>
  <c r="G92" i="7"/>
  <c r="D92" i="7"/>
  <c r="H91" i="7"/>
  <c r="G91" i="7"/>
  <c r="D91" i="7"/>
  <c r="H90" i="7"/>
  <c r="G90" i="7"/>
  <c r="D90" i="7"/>
  <c r="H89" i="7"/>
  <c r="G89" i="7"/>
  <c r="D89" i="7"/>
  <c r="H88" i="7"/>
  <c r="G88" i="7"/>
  <c r="D88" i="7"/>
  <c r="H87" i="7"/>
  <c r="G87" i="7"/>
  <c r="D87" i="7"/>
  <c r="H86" i="7"/>
  <c r="G86" i="7"/>
  <c r="D86" i="7"/>
  <c r="H85" i="7"/>
  <c r="G85" i="7"/>
  <c r="D85" i="7"/>
  <c r="H84" i="7"/>
  <c r="G84" i="7"/>
  <c r="D84" i="7"/>
  <c r="H83" i="7"/>
  <c r="G83" i="7"/>
  <c r="D83" i="7"/>
  <c r="H82" i="7"/>
  <c r="G82" i="7"/>
  <c r="D82" i="7"/>
  <c r="H81" i="7"/>
  <c r="G81" i="7"/>
  <c r="D81" i="7"/>
  <c r="H80" i="7"/>
  <c r="G80" i="7"/>
  <c r="D80" i="7"/>
  <c r="H79" i="7"/>
  <c r="G79" i="7"/>
  <c r="D79" i="7"/>
  <c r="H78" i="7"/>
  <c r="G78" i="7"/>
  <c r="D78" i="7"/>
  <c r="H77" i="7"/>
  <c r="G77" i="7"/>
  <c r="D77" i="7"/>
  <c r="H76" i="7"/>
  <c r="G76" i="7"/>
  <c r="D76" i="7"/>
  <c r="H75" i="7"/>
  <c r="G75" i="7"/>
  <c r="D75" i="7"/>
  <c r="H74" i="7"/>
  <c r="G74" i="7"/>
  <c r="D74" i="7"/>
  <c r="H73" i="7"/>
  <c r="G73" i="7"/>
  <c r="D73" i="7"/>
  <c r="H72" i="7"/>
  <c r="G72" i="7"/>
  <c r="D72" i="7"/>
  <c r="H71" i="7"/>
  <c r="G71" i="7"/>
  <c r="D71" i="7"/>
  <c r="H70" i="7"/>
  <c r="G70" i="7"/>
  <c r="D70" i="7"/>
  <c r="H69" i="7"/>
  <c r="G69" i="7"/>
  <c r="D69" i="7"/>
  <c r="H68" i="7"/>
  <c r="G68" i="7"/>
  <c r="D68" i="7"/>
  <c r="H67" i="7"/>
  <c r="G67" i="7"/>
  <c r="D67" i="7"/>
  <c r="H66" i="7"/>
  <c r="G66" i="7"/>
  <c r="D66" i="7"/>
  <c r="H65" i="7"/>
  <c r="G65" i="7"/>
  <c r="D65" i="7"/>
  <c r="H64" i="7"/>
  <c r="G64" i="7"/>
  <c r="D64" i="7"/>
  <c r="H63" i="7"/>
  <c r="G63" i="7"/>
  <c r="D63" i="7"/>
  <c r="H62" i="7"/>
  <c r="G62" i="7"/>
  <c r="D62" i="7"/>
  <c r="H61" i="7"/>
  <c r="G61" i="7"/>
  <c r="D61" i="7"/>
  <c r="H60" i="7"/>
  <c r="G60" i="7"/>
  <c r="D60" i="7"/>
  <c r="H59" i="7"/>
  <c r="G59" i="7"/>
  <c r="D59" i="7"/>
  <c r="H58" i="7"/>
  <c r="G58" i="7"/>
  <c r="D58" i="7"/>
  <c r="H57" i="7"/>
  <c r="G57" i="7"/>
  <c r="D57" i="7"/>
  <c r="H56" i="7"/>
  <c r="G56" i="7"/>
  <c r="D56" i="7"/>
  <c r="H55" i="7"/>
  <c r="G55" i="7"/>
  <c r="D55" i="7"/>
  <c r="H54" i="7"/>
  <c r="G54" i="7"/>
  <c r="D54" i="7"/>
  <c r="H53" i="7"/>
  <c r="G53" i="7"/>
  <c r="D53" i="7"/>
  <c r="H52" i="7"/>
  <c r="G52" i="7"/>
  <c r="D52" i="7"/>
  <c r="H51" i="7"/>
  <c r="G51" i="7"/>
  <c r="D51" i="7"/>
  <c r="H50" i="7"/>
  <c r="G50" i="7"/>
  <c r="D50" i="7"/>
  <c r="H49" i="7"/>
  <c r="G49" i="7"/>
  <c r="D49" i="7"/>
  <c r="H48" i="7"/>
  <c r="G48" i="7"/>
  <c r="D48" i="7"/>
  <c r="H47" i="7"/>
  <c r="G47" i="7"/>
  <c r="D47" i="7"/>
  <c r="H46" i="7"/>
  <c r="G46" i="7"/>
  <c r="D46" i="7"/>
  <c r="H45" i="7"/>
  <c r="G45" i="7"/>
  <c r="D45" i="7"/>
  <c r="H44" i="7"/>
  <c r="G44" i="7"/>
  <c r="D44" i="7"/>
  <c r="H43" i="7"/>
  <c r="G43" i="7"/>
  <c r="D43" i="7"/>
  <c r="H42" i="7"/>
  <c r="G42" i="7"/>
  <c r="D42" i="7"/>
  <c r="H41" i="7"/>
  <c r="G41" i="7"/>
  <c r="D41" i="7"/>
  <c r="H40" i="7"/>
  <c r="G40" i="7"/>
  <c r="D40" i="7"/>
  <c r="H39" i="7"/>
  <c r="G39" i="7"/>
  <c r="D39" i="7"/>
  <c r="H38" i="7"/>
  <c r="G38" i="7"/>
  <c r="D38" i="7"/>
  <c r="H37" i="7"/>
  <c r="G37" i="7"/>
  <c r="D37" i="7"/>
  <c r="H36" i="7"/>
  <c r="G36" i="7"/>
  <c r="D36" i="7"/>
  <c r="H35" i="7"/>
  <c r="G35" i="7"/>
  <c r="D35" i="7"/>
  <c r="H34" i="7"/>
  <c r="G34" i="7"/>
  <c r="D34" i="7"/>
  <c r="H33" i="7"/>
  <c r="G33" i="7"/>
  <c r="D33" i="7"/>
  <c r="H32" i="7"/>
  <c r="G32" i="7"/>
  <c r="D32" i="7"/>
  <c r="H31" i="7"/>
  <c r="G31" i="7"/>
  <c r="D31" i="7"/>
  <c r="H30" i="7"/>
  <c r="G30" i="7"/>
  <c r="D30" i="7"/>
  <c r="H29" i="7"/>
  <c r="G29" i="7"/>
  <c r="D29" i="7"/>
  <c r="H28" i="7"/>
  <c r="G28" i="7"/>
  <c r="D28" i="7"/>
  <c r="H27" i="7"/>
  <c r="G27" i="7"/>
  <c r="D27" i="7"/>
  <c r="H26" i="7"/>
  <c r="G26" i="7"/>
  <c r="D26" i="7"/>
  <c r="H25" i="7"/>
  <c r="G25" i="7"/>
  <c r="D25" i="7"/>
  <c r="H24" i="7"/>
  <c r="G24" i="7"/>
  <c r="D24" i="7"/>
  <c r="H23" i="7"/>
  <c r="G23" i="7"/>
  <c r="D23" i="7"/>
  <c r="H22" i="7"/>
  <c r="G22" i="7"/>
  <c r="D22" i="7"/>
  <c r="H21" i="7"/>
  <c r="G21" i="7"/>
  <c r="D21" i="7"/>
  <c r="H20" i="7"/>
  <c r="G20" i="7"/>
  <c r="D20" i="7"/>
  <c r="H19" i="7"/>
  <c r="G19" i="7"/>
  <c r="D19" i="7"/>
  <c r="H18" i="7"/>
  <c r="G18" i="7"/>
  <c r="D18" i="7"/>
  <c r="H17" i="7"/>
  <c r="G17" i="7"/>
  <c r="D17" i="7"/>
  <c r="H16" i="7"/>
  <c r="G16" i="7"/>
  <c r="D16" i="7"/>
  <c r="H15" i="7"/>
  <c r="G15" i="7"/>
  <c r="D15" i="7"/>
  <c r="H14" i="7"/>
  <c r="G14" i="7"/>
  <c r="D14" i="7"/>
  <c r="H13" i="7"/>
  <c r="G13" i="7"/>
  <c r="D13" i="7"/>
  <c r="H12" i="7"/>
  <c r="G12" i="7"/>
  <c r="D12" i="7"/>
  <c r="H11" i="7"/>
  <c r="G11" i="7"/>
  <c r="D11" i="7"/>
  <c r="H10" i="7"/>
  <c r="G10" i="7"/>
  <c r="D10" i="7"/>
  <c r="H9" i="7"/>
  <c r="G9" i="7"/>
  <c r="D9" i="7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C102" i="3"/>
  <c r="C101" i="3"/>
  <c r="C100" i="3"/>
  <c r="C99" i="3"/>
  <c r="C98" i="3"/>
  <c r="C97" i="3"/>
  <c r="C94" i="3"/>
  <c r="C93" i="3"/>
  <c r="C92" i="3"/>
  <c r="C91" i="3"/>
  <c r="C90" i="3"/>
  <c r="C89" i="3"/>
  <c r="C88" i="3"/>
  <c r="C87" i="3"/>
  <c r="C86" i="3"/>
  <c r="C85" i="3"/>
  <c r="C82" i="3"/>
  <c r="C81" i="3"/>
  <c r="C80" i="3"/>
  <c r="C79" i="3"/>
  <c r="C78" i="3"/>
  <c r="C77" i="3"/>
  <c r="C76" i="3"/>
  <c r="C75" i="3"/>
  <c r="C74" i="3"/>
  <c r="C73" i="3"/>
  <c r="C70" i="3"/>
  <c r="C69" i="3"/>
  <c r="C68" i="3"/>
  <c r="C67" i="3"/>
  <c r="C66" i="3"/>
  <c r="C65" i="3"/>
  <c r="C64" i="3"/>
  <c r="C63" i="3"/>
  <c r="C62" i="3"/>
  <c r="C61" i="3"/>
  <c r="C58" i="3"/>
  <c r="C57" i="3"/>
  <c r="C56" i="3"/>
  <c r="C55" i="3"/>
  <c r="C54" i="3"/>
  <c r="C53" i="3"/>
  <c r="D52" i="3"/>
  <c r="C52" i="3"/>
  <c r="B52" i="3"/>
  <c r="D51" i="3"/>
  <c r="C51" i="3"/>
  <c r="D50" i="3"/>
  <c r="C50" i="3"/>
  <c r="B50" i="3"/>
  <c r="D49" i="3"/>
  <c r="C49" i="3"/>
  <c r="B49" i="3"/>
  <c r="D48" i="3"/>
  <c r="C48" i="3"/>
  <c r="D47" i="3"/>
  <c r="D46" i="3"/>
  <c r="C46" i="3"/>
  <c r="B46" i="3"/>
  <c r="D45" i="3"/>
  <c r="C45" i="3"/>
  <c r="B45" i="3"/>
  <c r="D44" i="3"/>
  <c r="C44" i="3"/>
  <c r="B44" i="3"/>
  <c r="D43" i="3"/>
  <c r="D42" i="3"/>
  <c r="C42" i="3"/>
  <c r="D41" i="3"/>
  <c r="C41" i="3"/>
  <c r="B41" i="3"/>
  <c r="D40" i="3"/>
  <c r="C40" i="3"/>
  <c r="B40" i="3"/>
  <c r="D39" i="3"/>
  <c r="C39" i="3"/>
  <c r="D38" i="3"/>
  <c r="C38" i="3"/>
  <c r="B38" i="3"/>
  <c r="D37" i="3"/>
  <c r="C37" i="3"/>
  <c r="B37" i="3"/>
  <c r="D36" i="3"/>
  <c r="C36" i="3"/>
  <c r="D35" i="3"/>
  <c r="D34" i="3"/>
  <c r="C34" i="3"/>
  <c r="B34" i="3"/>
  <c r="D33" i="3"/>
  <c r="C33" i="3"/>
  <c r="B33" i="3"/>
  <c r="D32" i="3"/>
  <c r="C32" i="3"/>
  <c r="B32" i="3"/>
  <c r="D31" i="3"/>
  <c r="D30" i="3"/>
  <c r="C30" i="3"/>
  <c r="D29" i="3"/>
  <c r="C29" i="3"/>
  <c r="B29" i="3"/>
  <c r="D28" i="3"/>
  <c r="C28" i="3"/>
  <c r="B28" i="3"/>
  <c r="D27" i="3"/>
  <c r="C27" i="3"/>
  <c r="D26" i="3"/>
  <c r="C26" i="3"/>
  <c r="B26" i="3"/>
  <c r="D25" i="3"/>
  <c r="C25" i="3"/>
  <c r="B25" i="3"/>
  <c r="D24" i="3"/>
  <c r="C24" i="3"/>
  <c r="D23" i="3"/>
  <c r="K34" i="1"/>
  <c r="F34" i="1"/>
  <c r="L34" i="1" s="1"/>
  <c r="K33" i="1"/>
  <c r="F33" i="1"/>
  <c r="L33" i="1" s="1"/>
  <c r="K31" i="1"/>
  <c r="I31" i="1" s="1"/>
  <c r="F31" i="1"/>
  <c r="L31" i="1" s="1"/>
  <c r="K30" i="1"/>
  <c r="I30" i="1" s="1"/>
  <c r="F30" i="1"/>
  <c r="L30" i="1" s="1"/>
  <c r="G30" i="1" s="1"/>
  <c r="K28" i="1"/>
  <c r="F28" i="1"/>
  <c r="L28" i="1" s="1"/>
  <c r="K27" i="1"/>
  <c r="F27" i="1"/>
  <c r="L27" i="1" s="1"/>
  <c r="L26" i="1"/>
  <c r="K26" i="1"/>
  <c r="I26" i="1" s="1"/>
  <c r="F26" i="1"/>
  <c r="K25" i="1"/>
  <c r="I25" i="1" s="1"/>
  <c r="F25" i="1"/>
  <c r="L25" i="1" s="1"/>
  <c r="G25" i="1" s="1"/>
  <c r="L24" i="1"/>
  <c r="K24" i="1"/>
  <c r="I24" i="1" s="1"/>
  <c r="F24" i="1"/>
  <c r="L23" i="1"/>
  <c r="K23" i="1"/>
  <c r="I23" i="1"/>
  <c r="E2" i="8" s="1"/>
  <c r="G23" i="1"/>
  <c r="K21" i="1"/>
  <c r="F21" i="1"/>
  <c r="L21" i="1" s="1"/>
  <c r="K20" i="1"/>
  <c r="F20" i="1"/>
  <c r="L20" i="1" s="1"/>
  <c r="K19" i="1"/>
  <c r="F19" i="1"/>
  <c r="L19" i="1" s="1"/>
  <c r="L18" i="1"/>
  <c r="I18" i="1" s="1"/>
  <c r="K18" i="1"/>
  <c r="G18" i="1" s="1"/>
  <c r="F18" i="1"/>
  <c r="I28" i="1" l="1"/>
  <c r="H28" i="1" s="1"/>
  <c r="J25" i="1"/>
  <c r="H25" i="1"/>
  <c r="I2" i="10"/>
  <c r="I34" i="1"/>
  <c r="E2" i="15"/>
  <c r="J31" i="1"/>
  <c r="H31" i="1"/>
  <c r="I20" i="1"/>
  <c r="I33" i="1"/>
  <c r="G21" i="1"/>
  <c r="I27" i="1"/>
  <c r="M2" i="13"/>
  <c r="J28" i="1"/>
  <c r="J2" i="11"/>
  <c r="H26" i="1"/>
  <c r="J26" i="1"/>
  <c r="E2" i="4"/>
  <c r="J18" i="1"/>
  <c r="H18" i="1"/>
  <c r="J24" i="1"/>
  <c r="E2" i="9"/>
  <c r="H24" i="1"/>
  <c r="G19" i="1"/>
  <c r="I19" i="1"/>
  <c r="J2" i="14"/>
  <c r="J30" i="1"/>
  <c r="H30" i="1"/>
  <c r="B5" i="1"/>
  <c r="D5" i="1"/>
  <c r="G24" i="1"/>
  <c r="I21" i="1"/>
  <c r="G33" i="1"/>
  <c r="G26" i="1"/>
  <c r="G20" i="1"/>
  <c r="G28" i="1"/>
  <c r="H23" i="1"/>
  <c r="G31" i="1"/>
  <c r="G34" i="1"/>
  <c r="J23" i="1"/>
  <c r="G27" i="1"/>
  <c r="H27" i="1" l="1"/>
  <c r="J2" i="12"/>
  <c r="J27" i="1"/>
  <c r="K2" i="16"/>
  <c r="J33" i="1"/>
  <c r="H33" i="1"/>
  <c r="H2" i="7"/>
  <c r="J21" i="1"/>
  <c r="H21" i="1"/>
  <c r="H20" i="1"/>
  <c r="H2" i="6"/>
  <c r="J20" i="1"/>
  <c r="J34" i="1"/>
  <c r="H34" i="1"/>
  <c r="H2" i="17"/>
  <c r="D2" i="5"/>
  <c r="J19" i="1"/>
  <c r="D6" i="1" s="1"/>
  <c r="H19" i="1"/>
</calcChain>
</file>

<file path=xl/sharedStrings.xml><?xml version="1.0" encoding="utf-8"?>
<sst xmlns="http://schemas.openxmlformats.org/spreadsheetml/2006/main" count="579" uniqueCount="340">
  <si>
    <t>Référentiel projet</t>
  </si>
  <si>
    <t>Fichier d’initialisation · à remplir par le PMO pendant la préparation du projet</t>
  </si>
  <si>
    <t>1</t>
  </si>
  <si>
    <t>Remplissez les groupes dans l’ordre (Organisation, Structure, Gouvernance, Pilotage), puis les onglets dans l’ordre des étapes.</t>
  </si>
  <si>
    <t>2</t>
  </si>
  <si>
    <t>Choisissez les valeurs dans les listes ▾ : elles se nourrissent des onglets précédents et relient les onglets entre eux.</t>
  </si>
  <si>
    <t>3</t>
  </si>
  <si>
    <t>Une cellule orangée est un champ obligatoire manquant ; la colonne Contrôle signale les incohérences.</t>
  </si>
  <si>
    <r>
      <rPr>
        <b/>
        <sz val="8"/>
        <color rgb="FFB26A12"/>
        <rFont val="Aptos"/>
      </rPr>
      <t>OBLIGATOIRE</t>
    </r>
    <r>
      <rPr>
        <sz val="9"/>
        <color rgb="FF5C7280"/>
        <rFont val="Aptos"/>
      </rPr>
      <t xml:space="preserve">  compte dans la complétude      </t>
    </r>
    <r>
      <rPr>
        <b/>
        <sz val="8"/>
        <color rgb="FF8A9AA6"/>
        <rFont val="Aptos"/>
      </rPr>
      <t>FACULTATIF</t>
    </r>
    <r>
      <rPr>
        <sz val="9"/>
        <color rgb="FF5C7280"/>
        <rFont val="Aptos"/>
      </rPr>
      <t xml:space="preserve">  ne compte pas      </t>
    </r>
    <r>
      <rPr>
        <b/>
        <sz val="8"/>
        <color rgb="FF1D8F86"/>
        <rFont val="Aptos"/>
      </rPr>
      <t>CALCULÉ</t>
    </r>
    <r>
      <rPr>
        <sz val="9"/>
        <color rgb="FF5C7280"/>
        <rFont val="Aptos"/>
      </rPr>
      <t xml:space="preserve">  rempli par le fichier, fond gris      </t>
    </r>
    <r>
      <rPr>
        <b/>
        <sz val="9"/>
        <color rgb="FF10233A"/>
        <rFont val="Aptos"/>
      </rPr>
      <t>▾</t>
    </r>
    <r>
      <rPr>
        <sz val="9"/>
        <color rgb="FF5C7280"/>
        <rFont val="Aptos"/>
      </rPr>
      <t xml:space="preserve">  liste reliée à un autre onglet</t>
    </r>
  </si>
  <si>
    <t>Champ obligatoire manquant</t>
  </si>
  <si>
    <r>
      <rPr>
        <b/>
        <sz val="9"/>
        <color rgb="FFC2473B"/>
        <rFont val="Aptos"/>
      </rPr>
      <t xml:space="preserve">⚠ </t>
    </r>
    <r>
      <rPr>
        <sz val="9"/>
        <color rgb="FF5C7280"/>
        <rFont val="Aptos"/>
      </rPr>
      <t xml:space="preserve">incohérence bloquante     </t>
    </r>
    <r>
      <rPr>
        <b/>
        <sz val="9"/>
        <color rgb="FFB26A12"/>
        <rFont val="Aptos"/>
      </rPr>
      <t xml:space="preserve">◔ </t>
    </r>
    <r>
      <rPr>
        <sz val="9"/>
        <color rgb="FF5C7280"/>
        <rFont val="Aptos"/>
      </rPr>
      <t>avertissement</t>
    </r>
  </si>
  <si>
    <t>Étape</t>
  </si>
  <si>
    <t>Onglet</t>
  </si>
  <si>
    <t>Contenu</t>
  </si>
  <si>
    <t>Dépend de</t>
  </si>
  <si>
    <t>Lignes</t>
  </si>
  <si>
    <t>Obligatoires remplis</t>
  </si>
  <si>
    <t>Progression</t>
  </si>
  <si>
    <t>%</t>
  </si>
  <si>
    <t>Statut</t>
  </si>
  <si>
    <t>ORGANISATION</t>
  </si>
  <si>
    <t>01</t>
  </si>
  <si>
    <t>Équipes</t>
  </si>
  <si>
    <t>Sociétés et entités du projet</t>
  </si>
  <si>
    <t>—</t>
  </si>
  <si>
    <t>02</t>
  </si>
  <si>
    <t>Rôles projet</t>
  </si>
  <si>
    <t>Rôles métier</t>
  </si>
  <si>
    <t>03</t>
  </si>
  <si>
    <t>Personnes</t>
  </si>
  <si>
    <t>Annuaire du projet</t>
  </si>
  <si>
    <t>04</t>
  </si>
  <si>
    <t>Affectations</t>
  </si>
  <si>
    <t>Qui tient quel rôle, et quand</t>
  </si>
  <si>
    <t>Personnes, Rôles</t>
  </si>
  <si>
    <t>STRUCTURE</t>
  </si>
  <si>
    <t>05</t>
  </si>
  <si>
    <t>Projet</t>
  </si>
  <si>
    <t>Identité du client et du projet</t>
  </si>
  <si>
    <t>Équipes, Personnes</t>
  </si>
  <si>
    <t>06</t>
  </si>
  <si>
    <t>Info projet</t>
  </si>
  <si>
    <t>Contexte client et périmètre</t>
  </si>
  <si>
    <t>07</t>
  </si>
  <si>
    <t>Lots</t>
  </si>
  <si>
    <t>Vagues de déploiement</t>
  </si>
  <si>
    <t>08</t>
  </si>
  <si>
    <t>Phases</t>
  </si>
  <si>
    <t>Grandes étapes de la méthode</t>
  </si>
  <si>
    <t>09</t>
  </si>
  <si>
    <t>Sous-phases</t>
  </si>
  <si>
    <t>Découpage des phases</t>
  </si>
  <si>
    <t>10</t>
  </si>
  <si>
    <t>Chantiers</t>
  </si>
  <si>
    <t>Domaines de travail</t>
  </si>
  <si>
    <t>Personnes, Lots, Phases, Sous-phases</t>
  </si>
  <si>
    <t>GOUVERNANCE</t>
  </si>
  <si>
    <t>11</t>
  </si>
  <si>
    <t>Instances de pilotage</t>
  </si>
  <si>
    <t>Comités du projet</t>
  </si>
  <si>
    <t>12</t>
  </si>
  <si>
    <t>Membres des instances</t>
  </si>
  <si>
    <t>Composition des comités</t>
  </si>
  <si>
    <t>Instances, Personnes</t>
  </si>
  <si>
    <t>PILOTAGE</t>
  </si>
  <si>
    <t>13</t>
  </si>
  <si>
    <t>Jalons</t>
  </si>
  <si>
    <t>Dates clés</t>
  </si>
  <si>
    <t>Phases, Sous-phases, Chantiers, Lots, Personnes</t>
  </si>
  <si>
    <t>14</t>
  </si>
  <si>
    <t>Livrables</t>
  </si>
  <si>
    <t>Productions attendues</t>
  </si>
  <si>
    <t>Sous-phases, Chantiers, Personnes</t>
  </si>
  <si>
    <t>Complétude d’un onglet = champs obligatoires remplis ÷ champs obligatoires attendus. Les champs facultatifs ne comptent pas.</t>
  </si>
  <si>
    <t>Une ligne est attendue dès qu’une de ses cellules est saisie : chacun de ses champs obligatoires est alors dû. Un onglet vide attend au moins une ligne.</t>
  </si>
  <si>
    <t>Complétude globale = total des champs obligatoires remplis ÷ total des champs obligatoires attendus, tous onglets confondus.</t>
  </si>
  <si>
    <t>Glossaire</t>
  </si>
  <si>
    <t>Les termes du référentiel, illustrés avec le projet RISE.</t>
  </si>
  <si>
    <t>Terme</t>
  </si>
  <si>
    <t>Définition</t>
  </si>
  <si>
    <t>Exemple</t>
  </si>
  <si>
    <t>Organisation</t>
  </si>
  <si>
    <t>Équipe</t>
  </si>
  <si>
    <t>Société ou entité qui travaille sur le projet. Chaque personne est rattachée à une équipe ; c’est elle qui indique pour quelle société la personne intervient.</t>
  </si>
  <si>
    <t>AMC Corp (client), Onepoint (AMOA), Codilog (intégrateur)</t>
  </si>
  <si>
    <t>01 Équipes</t>
  </si>
  <si>
    <t>Rôle projet</t>
  </si>
  <si>
    <t>Responsabilité métier tenue sur le projet. Distinct de la permission.</t>
  </si>
  <si>
    <t>Responsable chantier, Sponsor exécutif</t>
  </si>
  <si>
    <t>02 Rôles</t>
  </si>
  <si>
    <t>Permission</t>
  </si>
  <si>
    <t>Ce qu’une personne peut faire dans l’application.</t>
  </si>
  <si>
    <t>PMO : gère le référentiel · Lecteur : consulte</t>
  </si>
  <si>
    <t>03 Personnes</t>
  </si>
  <si>
    <t>Affectation</t>
  </si>
  <si>
    <t>Lien daté entre une personne et un rôle. Plusieurs affectations simultanées sont possibles ; une fin vide signifie « en cours ».</t>
  </si>
  <si>
    <t>Karim Benali · Référent données · 01/09/2025 → en cours</t>
  </si>
  <si>
    <t>04 Affectations</t>
  </si>
  <si>
    <t>Structure</t>
  </si>
  <si>
    <t>Référentiel</t>
  </si>
  <si>
    <t>Données de base du projet, saisies à l’initialisation et gérées par le PMO. Tout le reste de l’application s’appuie dessus.</t>
  </si>
  <si>
    <t>Lots, phases, chantiers, personnes, instances…</t>
  </si>
  <si>
    <t>Complétude</t>
  </si>
  <si>
    <t>Lot</t>
  </si>
  <si>
    <t>Vague de déploiement : un périmètre (sociétés, sites) et une période.</t>
  </si>
  <si>
    <t>Lot 1 · AMC Corp, Brand X et stores · 01/03/2024 → 30/06/2027</t>
  </si>
  <si>
    <t>07 Lots</t>
  </si>
  <si>
    <t>Phase</t>
  </si>
  <si>
    <t>Grande étape de la méthode projet, numérotée dans l’ordre.</t>
  </si>
  <si>
    <t>5 · Deploy · 01/02/2026 → 30/06/2027</t>
  </si>
  <si>
    <t>08 Phases</t>
  </si>
  <si>
    <t>Sous-phase</t>
  </si>
  <si>
    <t>Découpage d’une phase. Son numéro commence par celui de la phase.</t>
  </si>
  <si>
    <t>5.3 · Répétition générale (phase 5)</t>
  </si>
  <si>
    <t>09 Sous-phases</t>
  </si>
  <si>
    <t>Chantier</t>
  </si>
  <si>
    <t>Domaine de travail qui traverse les phases, avec un responsable.</t>
  </si>
  <si>
    <t>C5 · Migration des données · Karim Benali</t>
  </si>
  <si>
    <t>10 Chantiers</t>
  </si>
  <si>
    <t>Gouvernance</t>
  </si>
  <si>
    <t>Instance de pilotage</t>
  </si>
  <si>
    <t>Comité récurrent du projet, avec sa fréquence et ses membres.</t>
  </si>
  <si>
    <t>Comité de pilotage · mensuel · 6 membres</t>
  </si>
  <si>
    <t>11 Instances</t>
  </si>
  <si>
    <t>Nom court</t>
  </si>
  <si>
    <t>Libellé abrégé de l’instance, utilisé dans le calendrier des comités et les infobulles.</t>
  </si>
  <si>
    <t>COPIL, COPROJ</t>
  </si>
  <si>
    <t>Membre</t>
  </si>
  <si>
    <t>Personne qui siège dans une instance. Les membres sont les participants par défaut des séances.</t>
  </si>
  <si>
    <t>Philippe Aubert · Président du COPIL</t>
  </si>
  <si>
    <t>12 Membres</t>
  </si>
  <si>
    <t>Pilotage</t>
  </si>
  <si>
    <t>Jalon</t>
  </si>
  <si>
    <t>Date clé du projet, rattachée obligatoirement à une phase. Le code est attribué automatiquement.</t>
  </si>
  <si>
    <t>J08 · Go-Live Lot 1 · 01/04/2027</t>
  </si>
  <si>
    <t>13 Jalons</t>
  </si>
  <si>
    <t>Date prévue</t>
  </si>
  <si>
    <t>Date à laquelle le jalon est attendu aujourd’hui.</t>
  </si>
  <si>
    <t>01/04/2027</t>
  </si>
  <si>
    <t>Date de référence</t>
  </si>
  <si>
    <t>Date figée lors de la validation du planning (baseline). L’écart se mesure par rapport à elle. Vide = date prévue.</t>
  </si>
  <si>
    <t>Référence v5 : 01/04/2027</t>
  </si>
  <si>
    <t>Livrable</t>
  </si>
  <si>
    <t>Production attendue, rattachée à une sous-phase, avec un responsable et une échéance.</t>
  </si>
  <si>
    <t>Plan de bascule détaillé · 5.3</t>
  </si>
  <si>
    <t>14 Livrables</t>
  </si>
  <si>
    <t>Conventions du fichier</t>
  </si>
  <si>
    <t>Clé</t>
  </si>
  <si>
    <t>Colonne calculée qui identifie une ligne. C’est la valeur proposée dans les listes des autres onglets.</t>
  </si>
  <si>
    <t>« 5 · Deploy » pour la phase 5</t>
  </si>
  <si>
    <t>Liste ▾</t>
  </si>
  <si>
    <t>Menu déroulant alimenté par un autre onglet ou par une liste fixe. Seules ses valeurs sont acceptées.</t>
  </si>
  <si>
    <t>La colonne Phase des jalons propose les clés de l’onglet Phases</t>
  </si>
  <si>
    <t>Contrôle</t>
  </si>
  <si>
    <t>Colonne calculée qui vérifie la ligne : ✓ correct, ⚠ incohérence à corriger, ◔ avertissement.</t>
  </si>
  <si>
    <t>⚠ Sous-phase hors phase</t>
  </si>
  <si>
    <t>Champs obligatoires remplis ÷ champs obligatoires attendus. Une ligne est attendue dès qu’une de ses cellules est saisie ; un onglet vide attend au moins une ligne.</t>
  </si>
  <si>
    <t>Personnes : 10 lignes × 4 obligatoires = 40 attendus, 37 remplis → 93 %</t>
  </si>
  <si>
    <t>Références</t>
  </si>
  <si>
    <t>Convention du choix multiple, rubriques de Info projet et valeurs acceptées par les colonnes à choix multiple.</t>
  </si>
  <si>
    <r>
      <rPr>
        <b/>
        <sz val="8"/>
        <color rgb="FF1D8F86"/>
        <rFont val="Aptos"/>
      </rPr>
      <t>CHOIX MULTIPLE</t>
    </r>
  </si>
  <si>
    <t>Plusieurs valeurs dans une cellule : séparez-les par un point-virgule « ; ». Exemple : 3 ; 4 ; 5. Les espaces autour du « ; » sont ignorés ; une valeur répétée ne compte qu’une fois.</t>
  </si>
  <si>
    <t>Colonnes concernées (10 Chantiers) : Phases (N° ou nom), Sous-phases (N°, ex. 3.1, dans une phase du chantier), Dépendances (noms ou codes des chantiers, ou Tous seul).</t>
  </si>
  <si>
    <r>
      <rPr>
        <b/>
        <sz val="8"/>
        <color rgb="FF1D8F86"/>
        <rFont val="Aptos"/>
      </rPr>
      <t>RUBRIQUES DE INFO PROJET  (onglet 06)</t>
    </r>
  </si>
  <si>
    <t>Rubrique</t>
  </si>
  <si>
    <t>Forme</t>
  </si>
  <si>
    <t>Obligatoire</t>
  </si>
  <si>
    <t>Le client</t>
  </si>
  <si>
    <t>Libellé + valeur</t>
  </si>
  <si>
    <t>Non (raison sociale, secteur et pays viennent de 05 Projet)</t>
  </si>
  <si>
    <t>Effectifs · ~1 750 collaborateurs</t>
  </si>
  <si>
    <t>Marques du groupe</t>
  </si>
  <si>
    <t>Liste de valeurs</t>
  </si>
  <si>
    <t>Non</t>
  </si>
  <si>
    <t>Brand X</t>
  </si>
  <si>
    <t>Programme en une phrase</t>
  </si>
  <si>
    <t>Texte unique (une ligne)</t>
  </si>
  <si>
    <t>Oui</t>
  </si>
  <si>
    <t>Programme de transformation digitale du groupe…</t>
  </si>
  <si>
    <t>Enjeux stratégiques</t>
  </si>
  <si>
    <t>Oui, au moins une ligne</t>
  </si>
  <si>
    <t>Sortir de 19 ERP hétérogènes</t>
  </si>
  <si>
    <t>Périmètre fonctionnel</t>
  </si>
  <si>
    <t>Finance · Comptabilité, contrôle de gestion</t>
  </si>
  <si>
    <t>Périmètre applicatif</t>
  </si>
  <si>
    <t>Brand X · ERP principal</t>
  </si>
  <si>
    <t>Périmètre géographique</t>
  </si>
  <si>
    <t>France</t>
  </si>
  <si>
    <t>Périmètre juridique</t>
  </si>
  <si>
    <t>AMC Corp SAS</t>
  </si>
  <si>
    <r>
      <rPr>
        <b/>
        <sz val="8"/>
        <color rgb="FF1D8F86"/>
        <rFont val="Aptos"/>
      </rPr>
      <t>VALEURS ACCEPTÉES  (calculées à partir des onglets 07, 08 et 09)</t>
    </r>
  </si>
  <si>
    <t>Phases (N° · Nom)</t>
  </si>
  <si>
    <t>Sous-phases (N° · Nom)</t>
  </si>
  <si>
    <t>Chantiers (code · nom)</t>
  </si>
  <si>
    <t>Sociétés ou entités qui travaillent sur le projet : client, cabinet AMOA, intégrateur, éditeur…</t>
  </si>
  <si>
    <t>↩  Complétude</t>
  </si>
  <si>
    <r>
      <rPr>
        <b/>
        <sz val="8"/>
        <color rgb="FF3B7DD8"/>
        <rFont val="Aptos"/>
      </rPr>
      <t xml:space="preserve">ORGANISATION  </t>
    </r>
    <r>
      <rPr>
        <b/>
        <sz val="9.5"/>
        <color rgb="FF10233A"/>
        <rFont val="Aptos"/>
      </rPr>
      <t xml:space="preserve">Étape 01    </t>
    </r>
    <r>
      <rPr>
        <sz val="9.5"/>
        <color rgb="FF5C7280"/>
        <rFont val="Aptos"/>
      </rPr>
      <t>Dépend de : —</t>
    </r>
  </si>
  <si>
    <t>Exemple : AMC Corp · Onepoint · Codilog</t>
  </si>
  <si>
    <t>OBLIGATOIRE</t>
  </si>
  <si>
    <t>FACULTATIF</t>
  </si>
  <si>
    <t>CALCULÉ</t>
  </si>
  <si>
    <t>CONTRÔLE</t>
  </si>
  <si>
    <t>Nom</t>
  </si>
  <si>
    <t>Description</t>
  </si>
  <si>
    <t>Rôles métier tenus sur le projet. Un rôle n’est pas une permission dans l’application.</t>
  </si>
  <si>
    <r>
      <rPr>
        <b/>
        <sz val="8"/>
        <color rgb="FF3B7DD8"/>
        <rFont val="Aptos"/>
      </rPr>
      <t xml:space="preserve">ORGANISATION  </t>
    </r>
    <r>
      <rPr>
        <b/>
        <sz val="9.5"/>
        <color rgb="FF10233A"/>
        <rFont val="Aptos"/>
      </rPr>
      <t xml:space="preserve">Étape 02    </t>
    </r>
    <r>
      <rPr>
        <sz val="9.5"/>
        <color rgb="FF5C7280"/>
        <rFont val="Aptos"/>
      </rPr>
      <t>Dépend de : —</t>
    </r>
  </si>
  <si>
    <t>Exemple : Responsable chantier · pilote un chantier, son planning et ses anomalies</t>
  </si>
  <si>
    <t>Libellé</t>
  </si>
  <si>
    <t>Affectations actives</t>
  </si>
  <si>
    <t>Toutes les personnes du projet, rattachées à leur équipe. Le nom complet sert de référence dans les autres onglets.</t>
  </si>
  <si>
    <r>
      <rPr>
        <b/>
        <sz val="8"/>
        <color rgb="FF3B7DD8"/>
        <rFont val="Aptos"/>
      </rPr>
      <t xml:space="preserve">ORGANISATION  </t>
    </r>
    <r>
      <rPr>
        <b/>
        <sz val="9.5"/>
        <color rgb="FF10233A"/>
        <rFont val="Aptos"/>
      </rPr>
      <t xml:space="preserve">Étape 03    </t>
    </r>
    <r>
      <rPr>
        <sz val="9.5"/>
        <color rgb="FF5C7280"/>
        <rFont val="Aptos"/>
      </rPr>
      <t>Dépend de : Équipes</t>
    </r>
  </si>
  <si>
    <t>Exemple : Karim Benali · karim.benali@amc.com · AMC Corp · Responsable IT ERP · Contributeur</t>
  </si>
  <si>
    <t>OBLIGATOIRE  ▾</t>
  </si>
  <si>
    <t>FACULTATIF  ▾</t>
  </si>
  <si>
    <t>Nom complet</t>
  </si>
  <si>
    <t>Email</t>
  </si>
  <si>
    <t>Fonction</t>
  </si>
  <si>
    <t>Actif</t>
  </si>
  <si>
    <t>Qui tient quel rôle, et depuis quand. Plusieurs rôles simultanés possibles ; l’historique est conservé.</t>
  </si>
  <si>
    <r>
      <rPr>
        <b/>
        <sz val="8"/>
        <color rgb="FF3B7DD8"/>
        <rFont val="Aptos"/>
      </rPr>
      <t xml:space="preserve">ORGANISATION  </t>
    </r>
    <r>
      <rPr>
        <b/>
        <sz val="9.5"/>
        <color rgb="FF10233A"/>
        <rFont val="Aptos"/>
      </rPr>
      <t xml:space="preserve">Étape 04    </t>
    </r>
    <r>
      <rPr>
        <sz val="9.5"/>
        <color rgb="FF5C7280"/>
        <rFont val="Aptos"/>
      </rPr>
      <t>Dépend de : Personnes, Rôles</t>
    </r>
  </si>
  <si>
    <t>Exemple : Karim Benali · Responsable migration · 01/09/2025 → fin vide = en cours</t>
  </si>
  <si>
    <t>Personne</t>
  </si>
  <si>
    <t>Rôle</t>
  </si>
  <si>
    <t>Début</t>
  </si>
  <si>
    <t>Fin</t>
  </si>
  <si>
    <t>Active</t>
  </si>
  <si>
    <t>Identité du client et du projet. Une seule valeur par champ.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</si>
  <si>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05    </t>
    </r>
    <r>
      <rPr>
        <sz val="9.5"/>
        <color rgb="FF5C7280"/>
        <rFont val="Aptos"/>
      </rPr>
      <t>Dépend de : Équipes, Personnes</t>
    </r>
  </si>
  <si>
    <t>Exemple : AMC Corp · RISE · Implémentation Brand X + CRM · Europe/Paris</t>
  </si>
  <si>
    <t>Client</t>
  </si>
  <si>
    <t>Nom du client</t>
  </si>
  <si>
    <t>Secteur d’activité</t>
  </si>
  <si>
    <t>Pays</t>
  </si>
  <si>
    <t>Code projet</t>
  </si>
  <si>
    <t>Court et unique, ex. RISE</t>
  </si>
  <si>
    <t>Nom du projet</t>
  </si>
  <si>
    <t>Objectifs</t>
  </si>
  <si>
    <t>Deux ou trois phrases</t>
  </si>
  <si>
    <t>Éditeur de la solution</t>
  </si>
  <si>
    <t>Choisi parmi les équipes</t>
  </si>
  <si>
    <t>Intégrateur</t>
  </si>
  <si>
    <t>Date de démarrage</t>
  </si>
  <si>
    <t>Date de fin cible</t>
  </si>
  <si>
    <t>Fuseau horaire</t>
  </si>
  <si>
    <t>Directeur de programme</t>
  </si>
  <si>
    <t>Sponsor</t>
  </si>
  <si>
    <t>Contexte du client et périmètre du projet (onglet Fiche projet du Cockpit). Une ligne par élément ; les rubriques sont listées dans l’onglet Références.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</si>
  <si>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06   </t>
    </r>
    <r>
      <rPr>
        <sz val="9.5"/>
        <color rgb="FF5C7280"/>
        <rFont val="Aptos"/>
      </rPr>
      <t>Dépend de : Projet</t>
    </r>
  </si>
  <si>
    <t>Exemple : Enjeux stratégiques · (vide) · Sortir de 19 ERP hétérogènes   —   Périmètre fonctionnel · Finance · Comptabilité, contrôle de gestion</t>
  </si>
  <si>
    <t>FACULTATIF  (obligatoire pour les rubriques Libellé + valeur)</t>
  </si>
  <si>
    <t>Valeur</t>
  </si>
  <si>
    <t>Vagues de déploiement du projet. Chaque lot a un périmètre et une période.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</si>
  <si>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07    </t>
    </r>
    <r>
      <rPr>
        <sz val="9.5"/>
        <color rgb="FF5C7280"/>
        <rFont val="Aptos"/>
      </rPr>
      <t>Dépend de : Personnes</t>
    </r>
  </si>
  <si>
    <t>Exemple : Lot 1 · AMC Corp, Brand X et stores · 01/03/2024 → 30/06/2027</t>
  </si>
  <si>
    <t>N°</t>
  </si>
  <si>
    <t>Périmètre</t>
  </si>
  <si>
    <t>Responsable</t>
  </si>
  <si>
    <t>Grandes étapes de la méthode (Discover, Prepare, Explore…), numérotées dans l’ordre.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</si>
  <si>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08    </t>
    </r>
    <r>
      <rPr>
        <sz val="9.5"/>
        <color rgb="FF5C7280"/>
        <rFont val="Aptos"/>
      </rPr>
      <t>Dépend de : Lots</t>
    </r>
  </si>
  <si>
    <t>Exemple : 5 · Deploy · Lot 1 · 01/02/2026 → 30/06/2027 · En cours</t>
  </si>
  <si>
    <t>Découpage de chaque phase. Numérotation libre, propre au projet et unique : 5.1, 5.2… ou la vôtre.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</si>
  <si>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09    </t>
    </r>
    <r>
      <rPr>
        <sz val="9.5"/>
        <color rgb="FF5C7280"/>
        <rFont val="Aptos"/>
      </rPr>
      <t>Dépend de : Phases</t>
    </r>
  </si>
  <si>
    <t>Exemple : phase 5 · Deploy → 5.3 · Répétition générale · 01/09/2026 → 31/03/2027</t>
  </si>
  <si>
    <r>
      <rPr>
        <b/>
        <sz val="8"/>
        <color rgb="FF1D8F86"/>
        <rFont val="Aptos"/>
      </rPr>
      <t xml:space="preserve">STRUCTURE  </t>
    </r>
    <r>
      <rPr>
        <b/>
        <sz val="9.5"/>
        <color rgb="FF10233A"/>
        <rFont val="Aptos"/>
      </rPr>
      <t xml:space="preserve">Étape 10    </t>
    </r>
    <r>
      <rPr>
        <sz val="9.5"/>
        <color rgb="FF5C7280"/>
        <rFont val="Aptos"/>
      </rPr>
      <t>Dépend de : Personnes, Lots, Phases, Sous-phases</t>
    </r>
  </si>
  <si>
    <t>FACULTATIF  ;</t>
  </si>
  <si>
    <t>Code</t>
  </si>
  <si>
    <t>Dépendances</t>
  </si>
  <si>
    <t>Comités du projet. Le nom court et la couleur servent au calendrier des comités.</t>
  </si>
  <si>
    <r>
      <rPr>
        <b/>
        <sz val="8"/>
        <color rgb="FF8A5CC4"/>
        <rFont val="Aptos"/>
      </rPr>
      <t xml:space="preserve">GOUVERNANCE  </t>
    </r>
    <r>
      <rPr>
        <b/>
        <sz val="9.5"/>
        <color rgb="FF10233A"/>
        <rFont val="Aptos"/>
      </rPr>
      <t xml:space="preserve">Étape 11    </t>
    </r>
    <r>
      <rPr>
        <sz val="9.5"/>
        <color rgb="FF5C7280"/>
        <rFont val="Aptos"/>
      </rPr>
      <t>Dépend de : —</t>
    </r>
  </si>
  <si>
    <t>Exemple : Comité de pilotage · COPIL · Marine · Mensuelle · Stratégique</t>
  </si>
  <si>
    <t>Couleur</t>
  </si>
  <si>
    <t>Fréquence</t>
  </si>
  <si>
    <t>Niveau</t>
  </si>
  <si>
    <t>Rôle de l’instance</t>
  </si>
  <si>
    <t>Membres</t>
  </si>
  <si>
    <t>Une ligne par personne et par instance. Par défaut, les participants d’une séance sont les membres de l’instance.</t>
  </si>
  <si>
    <r>
      <rPr>
        <b/>
        <sz val="8"/>
        <color rgb="FF8A5CC4"/>
        <rFont val="Aptos"/>
      </rPr>
      <t xml:space="preserve">GOUVERNANCE  </t>
    </r>
    <r>
      <rPr>
        <b/>
        <sz val="9.5"/>
        <color rgb="FF10233A"/>
        <rFont val="Aptos"/>
      </rPr>
      <t xml:space="preserve">Étape 12    </t>
    </r>
    <r>
      <rPr>
        <sz val="9.5"/>
        <color rgb="FF5C7280"/>
        <rFont val="Aptos"/>
      </rPr>
      <t>Dépend de : Instances, Personnes</t>
    </r>
  </si>
  <si>
    <t>Exemple : Comité de pilotage · Philippe Aubert · Président</t>
  </si>
  <si>
    <t>Instance</t>
  </si>
  <si>
    <t>Rôle dans l’instance</t>
  </si>
  <si>
    <t>Dates clés du projet. Phase obligatoire ; sous-phase et chantier facultatifs. Date de référence vide = date prévue.</t>
  </si>
  <si>
    <r>
      <rPr>
        <b/>
        <sz val="8"/>
        <color rgb="FFE39A2D"/>
        <rFont val="Aptos"/>
      </rPr>
      <t xml:space="preserve">PILOTAGE  </t>
    </r>
    <r>
      <rPr>
        <b/>
        <sz val="9.5"/>
        <color rgb="FF10233A"/>
        <rFont val="Aptos"/>
      </rPr>
      <t xml:space="preserve">Étape 13    </t>
    </r>
    <r>
      <rPr>
        <sz val="9.5"/>
        <color rgb="FF5C7280"/>
        <rFont val="Aptos"/>
      </rPr>
      <t>Dépend de : Phases, Sous-phases, Chantiers, Lots, Personnes</t>
    </r>
  </si>
  <si>
    <t>Exemple : J08 · Go-Live Lot 1 · 5 · Deploy · 5.4 · Cutover / Go-live · Pilotage et transverse · 01/04/2027</t>
  </si>
  <si>
    <t>Productions attendues, rattachées à une sous-phase. Le chantier est facultatif.</t>
  </si>
  <si>
    <r>
      <rPr>
        <b/>
        <sz val="8"/>
        <color rgb="FFE39A2D"/>
        <rFont val="Aptos"/>
      </rPr>
      <t xml:space="preserve">PILOTAGE  </t>
    </r>
    <r>
      <rPr>
        <b/>
        <sz val="9.5"/>
        <color rgb="FF10233A"/>
        <rFont val="Aptos"/>
      </rPr>
      <t xml:space="preserve">Étape 14    </t>
    </r>
    <r>
      <rPr>
        <sz val="9.5"/>
        <color rgb="FF5C7280"/>
        <rFont val="Aptos"/>
      </rPr>
      <t>Dépend de : Sous-phases, Chantiers, Personnes</t>
    </r>
  </si>
  <si>
    <t>Exemple : Plan de bascule détaillé · 5.3 · Répétition générale · Antoine Mercier · échéance 12/03/2027</t>
  </si>
  <si>
    <t>Échéance</t>
  </si>
  <si>
    <t>L_StatutLot</t>
  </si>
  <si>
    <t>L_StatutPhase</t>
  </si>
  <si>
    <t>L_StatutChantier</t>
  </si>
  <si>
    <t>L_Permission</t>
  </si>
  <si>
    <t>L_OuiNon</t>
  </si>
  <si>
    <t>L_Frequence</t>
  </si>
  <si>
    <t>L_Niveau</t>
  </si>
  <si>
    <t>L_Couleur</t>
  </si>
  <si>
    <t>L_RoleInstance</t>
  </si>
  <si>
    <t>L_StatutProjet</t>
  </si>
  <si>
    <t>L_Fuseau</t>
  </si>
  <si>
    <t>L_Rubriques</t>
  </si>
  <si>
    <t>L_RubriquesPaires</t>
  </si>
  <si>
    <t>Prévu</t>
  </si>
  <si>
    <t>Prévue</t>
  </si>
  <si>
    <t>Admin</t>
  </si>
  <si>
    <t>Quotidienne</t>
  </si>
  <si>
    <t>Stratégique</t>
  </si>
  <si>
    <t>Marine</t>
  </si>
  <si>
    <t>Président</t>
  </si>
  <si>
    <t>Préparation</t>
  </si>
  <si>
    <t>Europe/Paris</t>
  </si>
  <si>
    <t>En cours</t>
  </si>
  <si>
    <t>Clos</t>
  </si>
  <si>
    <t>PMO</t>
  </si>
  <si>
    <t>Hebdomadaire</t>
  </si>
  <si>
    <t>Sarcelle</t>
  </si>
  <si>
    <t>Europe/London</t>
  </si>
  <si>
    <t>Terminé</t>
  </si>
  <si>
    <t>Terminée</t>
  </si>
  <si>
    <t>Chef de projet</t>
  </si>
  <si>
    <t>Bimensuelle</t>
  </si>
  <si>
    <t>Opérationnel</t>
  </si>
  <si>
    <t>Bleu</t>
  </si>
  <si>
    <t>Secrétaire</t>
  </si>
  <si>
    <t>America/New_York</t>
  </si>
  <si>
    <t>Contributeur</t>
  </si>
  <si>
    <t>Mensuelle</t>
  </si>
  <si>
    <t>Hors cycle</t>
  </si>
  <si>
    <t>Ambre</t>
  </si>
  <si>
    <t>Invité</t>
  </si>
  <si>
    <t>Asia/Singapore</t>
  </si>
  <si>
    <t>Lecteur</t>
  </si>
  <si>
    <t>Trimestrielle</t>
  </si>
  <si>
    <t>Rouge</t>
  </si>
  <si>
    <t>UTC</t>
  </si>
  <si>
    <t>Semestrielle</t>
  </si>
  <si>
    <t>Violet</t>
  </si>
  <si>
    <t>À la demande</t>
  </si>
  <si>
    <t>Olive</t>
  </si>
  <si>
    <t>Gris</t>
  </si>
  <si>
    <t>Domaines de travail transverses aux phases (Finance, Migration…). Un responsable par chantier. Début et fin : facultatifs, calculés sinon à partir des sous-phases du chantier. Phases, sous-phases et dépendances : plusieurs valeurs séparées par « ; ».</t>
  </si>
  <si>
    <t>Exemple : C5 · Migration des données · Karim Benali · Lot 1 · Actif · 01/03/2027 → 31/10/2027 · 3 ; 4 · 3.1 ; 4.2 · Finance ; 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</si>
</sst>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"/>
    <numFmt numFmtId="165" formatCode="0\ %&quot;  complété&quot;"/>
  </numFmts>
  <fonts count="46" x14ac:knownFonts="1">
    <font>
      <sz val="11"/>
      <color theme="1"/>
      <name val="Calibri"/>
      <family val="2"/>
      <scheme val="minor"/>
    </font>
    <font>
      <b/>
      <sz val="22"/>
      <color rgb="FF10233A"/>
      <name val="Aptos"/>
    </font>
    <font>
      <sz val="10.5"/>
      <color rgb="FF5C7280"/>
      <name val="Aptos"/>
    </font>
    <font>
      <b/>
      <sz val="40"/>
      <color rgb="FF1D8F86"/>
      <name val="Aptos"/>
    </font>
    <font>
      <b/>
      <sz val="10.5"/>
      <color rgb="FF10233A"/>
      <name val="Aptos"/>
    </font>
    <font>
      <sz val="10"/>
      <color rgb="FF5C7280"/>
      <name val="Aptos"/>
    </font>
    <font>
      <b/>
      <sz val="11"/>
      <color rgb="FF1D8F86"/>
      <name val="Aptos"/>
    </font>
    <font>
      <sz val="10"/>
      <color rgb="FF10233A"/>
      <name val="Aptos"/>
    </font>
    <font>
      <b/>
      <sz val="9"/>
      <color rgb="FFB26A12"/>
      <name val="Aptos"/>
    </font>
    <font>
      <b/>
      <sz val="9.5"/>
      <color rgb="FF10233A"/>
      <name val="Aptos"/>
    </font>
    <font>
      <b/>
      <sz val="8.5"/>
      <color rgb="FF3B7DD8"/>
      <name val="Aptos"/>
    </font>
    <font>
      <b/>
      <sz val="10"/>
      <color rgb="FF8A9AA6"/>
      <name val="Aptos"/>
    </font>
    <font>
      <b/>
      <sz val="10"/>
      <color rgb="FF10233A"/>
      <name val="Aptos"/>
    </font>
    <font>
      <sz val="9"/>
      <color rgb="FF8A9AA6"/>
      <name val="Aptos"/>
    </font>
    <font>
      <sz val="10"/>
      <color rgb="FF3B7DD8"/>
      <name val="Consolas"/>
    </font>
    <font>
      <b/>
      <sz val="8.5"/>
      <color rgb="FF1D8F86"/>
      <name val="Aptos"/>
    </font>
    <font>
      <sz val="10"/>
      <color rgb="FF1D8F86"/>
      <name val="Consolas"/>
    </font>
    <font>
      <b/>
      <sz val="8.5"/>
      <color rgb="FF8A5CC4"/>
      <name val="Aptos"/>
    </font>
    <font>
      <sz val="10"/>
      <color rgb="FF8A5CC4"/>
      <name val="Consolas"/>
    </font>
    <font>
      <b/>
      <sz val="8.5"/>
      <color rgb="FFE39A2D"/>
      <name val="Aptos"/>
    </font>
    <font>
      <sz val="10"/>
      <color rgb="FFE39A2D"/>
      <name val="Consolas"/>
    </font>
    <font>
      <i/>
      <sz val="9"/>
      <color rgb="FF8A9AA6"/>
      <name val="Aptos"/>
    </font>
    <font>
      <b/>
      <sz val="11"/>
      <color rgb="FF3B7DD8"/>
      <name val="Aptos"/>
    </font>
    <font>
      <i/>
      <sz val="10"/>
      <color rgb="FF5C7280"/>
      <name val="Aptos"/>
    </font>
    <font>
      <b/>
      <sz val="9.5"/>
      <color rgb="FF1D8F86"/>
      <name val="Aptos"/>
    </font>
    <font>
      <b/>
      <sz val="11"/>
      <color rgb="FF8A5CC4"/>
      <name val="Aptos"/>
    </font>
    <font>
      <b/>
      <sz val="11"/>
      <color rgb="FFE39A2D"/>
      <name val="Aptos"/>
    </font>
    <font>
      <b/>
      <sz val="12"/>
      <color rgb="FF1D8F86"/>
      <name val="Aptos"/>
    </font>
    <font>
      <i/>
      <sz val="9.5"/>
      <color rgb="FF8A9AA6"/>
      <name val="Aptos"/>
    </font>
    <font>
      <b/>
      <sz val="7.5"/>
      <color rgb="FFB26A12"/>
      <name val="Aptos"/>
    </font>
    <font>
      <b/>
      <sz val="7.5"/>
      <color rgb="FF8A9AA6"/>
      <name val="Aptos"/>
    </font>
    <font>
      <b/>
      <sz val="7.5"/>
      <color rgb="FF1D8F86"/>
      <name val="Aptos"/>
    </font>
    <font>
      <b/>
      <sz val="10"/>
      <color rgb="FF0F5F5A"/>
      <name val="Aptos"/>
    </font>
    <font>
      <sz val="10"/>
      <color rgb="FF0F5F5A"/>
      <name val="Aptos"/>
    </font>
    <font>
      <sz val="10"/>
      <color rgb="FF1D8F86"/>
      <name val="Aptos"/>
    </font>
    <font>
      <b/>
      <sz val="11"/>
      <color rgb="FF10233A"/>
      <name val="Aptos"/>
    </font>
    <font>
      <b/>
      <sz val="8"/>
      <color rgb="FFB26A12"/>
      <name val="Aptos"/>
    </font>
    <font>
      <sz val="9"/>
      <color rgb="FF5C7280"/>
      <name val="Aptos"/>
    </font>
    <font>
      <b/>
      <sz val="8"/>
      <color rgb="FF8A9AA6"/>
      <name val="Aptos"/>
    </font>
    <font>
      <b/>
      <sz val="8"/>
      <color rgb="FF1D8F86"/>
      <name val="Aptos"/>
    </font>
    <font>
      <b/>
      <sz val="9"/>
      <color rgb="FF10233A"/>
      <name val="Aptos"/>
    </font>
    <font>
      <b/>
      <sz val="9"/>
      <color rgb="FFC2473B"/>
      <name val="Aptos"/>
    </font>
    <font>
      <b/>
      <sz val="8"/>
      <color rgb="FF3B7DD8"/>
      <name val="Aptos"/>
    </font>
    <font>
      <sz val="9.5"/>
      <color rgb="FF5C7280"/>
      <name val="Aptos"/>
    </font>
    <font>
      <b/>
      <sz val="8"/>
      <color rgb="FF8A5CC4"/>
      <name val="Aptos"/>
    </font>
    <font>
      <b/>
      <sz val="8"/>
      <color rgb="FFE39A2D"/>
      <name val="Aptos"/>
    </font>
  </fonts>
  <fills count="5">
    <fill>
      <patternFill patternType="none"/>
    </fill>
    <fill>
      <patternFill patternType="gray125"/>
    </fill>
    <fill>
      <patternFill patternType="solid">
        <fgColor rgb="FFFDF1E2"/>
      </patternFill>
    </fill>
    <fill>
      <patternFill patternType="solid">
        <fgColor rgb="FFF3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0233A"/>
      </bottom>
      <diagonal/>
    </border>
    <border>
      <left/>
      <right/>
      <top/>
      <bottom style="hair">
        <color rgb="FFE3ECE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 inden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0" fillId="0" borderId="0" xfId="0" applyFont="1"/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15" fillId="0" borderId="0" xfId="0" applyFont="1"/>
    <xf numFmtId="0" fontId="16" fillId="0" borderId="2" xfId="0" applyFont="1" applyBorder="1" applyAlignment="1">
      <alignment vertical="center"/>
    </xf>
    <xf numFmtId="0" fontId="17" fillId="0" borderId="0" xfId="0" applyFont="1"/>
    <xf numFmtId="0" fontId="18" fillId="0" borderId="2" xfId="0" applyFont="1" applyBorder="1" applyAlignment="1">
      <alignment vertical="center"/>
    </xf>
    <xf numFmtId="0" fontId="19" fillId="0" borderId="0" xfId="0" applyFont="1"/>
    <xf numFmtId="0" fontId="20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22" fillId="0" borderId="0" xfId="0" applyFont="1"/>
    <xf numFmtId="0" fontId="12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4" fillId="0" borderId="2" xfId="0" applyFont="1" applyBorder="1" applyAlignment="1">
      <alignment vertical="top" wrapText="1"/>
    </xf>
    <xf numFmtId="0" fontId="6" fillId="0" borderId="0" xfId="0" applyFont="1"/>
    <xf numFmtId="0" fontId="25" fillId="0" borderId="0" xfId="0" applyFont="1"/>
    <xf numFmtId="0" fontId="26" fillId="0" borderId="0" xfId="0" applyFont="1"/>
    <xf numFmtId="165" fontId="27" fillId="0" borderId="0" xfId="0" applyNumberFormat="1" applyFont="1" applyAlignment="1">
      <alignment horizontal="right"/>
    </xf>
    <xf numFmtId="0" fontId="24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12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7" fillId="0" borderId="2" xfId="0" applyFont="1" applyBorder="1" applyAlignment="1" applyProtection="1">
      <alignment vertical="center"/>
      <protection locked="0"/>
    </xf>
    <xf numFmtId="0" fontId="33" fillId="3" borderId="2" xfId="0" applyFont="1" applyFill="1" applyBorder="1" applyAlignment="1">
      <alignment vertical="center"/>
    </xf>
    <xf numFmtId="0" fontId="34" fillId="3" borderId="2" xfId="0" applyFont="1" applyFill="1" applyBorder="1" applyAlignment="1">
      <alignment vertical="center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0" fontId="35" fillId="0" borderId="1" xfId="0" applyFont="1" applyBorder="1"/>
    <xf numFmtId="0" fontId="0" fillId="0" borderId="1" xfId="0" applyBorder="1"/>
    <xf numFmtId="0" fontId="29" fillId="0" borderId="2" xfId="0" applyFont="1" applyBorder="1" applyAlignment="1">
      <alignment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30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14" fontId="12" fillId="0" borderId="2" xfId="0" applyNumberFormat="1" applyFont="1" applyBorder="1" applyAlignment="1" applyProtection="1">
      <alignment horizontal="left" vertical="center"/>
      <protection locked="0"/>
    </xf>
    <xf numFmtId="0" fontId="34" fillId="0" borderId="0" xfId="0" applyFont="1"/>
    <xf numFmtId="0" fontId="7" fillId="0" borderId="2" xfId="0" applyFont="1" applyBorder="1" applyAlignment="1" applyProtection="1">
      <alignment horizontal="left" vertical="center"/>
      <protection locked="0"/>
    </xf>
    <xf numFmtId="0" fontId="33" fillId="4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0" xfId="0"/>
    <xf numFmtId="0" fontId="21" fillId="0" borderId="0" xfId="0" applyFont="1"/>
    <xf numFmtId="0" fontId="7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63"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8A9AA6"/>
        </patternFill>
      </fill>
    </dxf>
    <dxf>
      <fill>
        <patternFill patternType="solid">
          <bgColor rgb="FF6B8E23"/>
        </patternFill>
      </fill>
    </dxf>
    <dxf>
      <fill>
        <patternFill patternType="solid">
          <bgColor rgb="FFB25FC4"/>
        </patternFill>
      </fill>
    </dxf>
    <dxf>
      <fill>
        <patternFill patternType="solid">
          <bgColor rgb="FFC2473B"/>
        </patternFill>
      </fill>
    </dxf>
    <dxf>
      <fill>
        <patternFill patternType="solid">
          <bgColor rgb="FFE39A2D"/>
        </patternFill>
      </fill>
    </dxf>
    <dxf>
      <fill>
        <patternFill patternType="solid">
          <bgColor rgb="FF3B7DD8"/>
        </patternFill>
      </fill>
    </dxf>
    <dxf>
      <fill>
        <patternFill patternType="solid">
          <bgColor rgb="FF1D8F86"/>
        </patternFill>
      </fill>
    </dxf>
    <dxf>
      <fill>
        <patternFill patternType="solid">
          <bgColor rgb="FF10233A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B26A12"/>
      </font>
    </dxf>
    <dxf>
      <font>
        <b/>
        <color rgb="FFC2473B"/>
      </font>
    </dxf>
    <dxf>
      <fill>
        <patternFill patternType="solid">
          <bgColor rgb="FFFDF1E2"/>
        </patternFill>
      </fill>
    </dxf>
    <dxf>
      <font>
        <color rgb="FF8A9AA6"/>
      </font>
    </dxf>
    <dxf>
      <font>
        <b/>
        <color rgb="FFB26A12"/>
      </font>
    </dxf>
    <dxf>
      <font>
        <b/>
        <color rgb="FF1D8F8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233A"/>
    <pageSetUpPr fitToPage="1"/>
  </sheetPr>
  <dimension ref="B1:L38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7" customWidth="1"/>
    <col min="3" max="3" width="26" customWidth="1"/>
    <col min="4" max="4" width="34" customWidth="1"/>
    <col min="5" max="5" width="30" customWidth="1"/>
    <col min="7" max="7" width="21" customWidth="1"/>
    <col min="8" max="8" width="15" customWidth="1"/>
    <col min="9" max="9" width="8" customWidth="1"/>
    <col min="10" max="10" width="13" customWidth="1"/>
    <col min="11" max="12" width="10" hidden="1" customWidth="1"/>
  </cols>
  <sheetData>
    <row r="1" spans="2:10" ht="12" customHeight="1" x14ac:dyDescent="0.25"/>
    <row r="2" spans="2:10" ht="33.950000000000003" customHeight="1" x14ac:dyDescent="0.45">
      <c r="B2" s="1" t="s">
        <v>0</v>
      </c>
    </row>
    <row r="3" spans="2:10" ht="18" customHeight="1" x14ac:dyDescent="0.25">
      <c r="B3" s="2" t="s">
        <v>1</v>
      </c>
    </row>
    <row r="4" spans="2:10" ht="14.1" customHeight="1" x14ac:dyDescent="0.25"/>
    <row r="5" spans="2:10" ht="30" customHeight="1" x14ac:dyDescent="0.25">
      <c r="B5" s="61">
        <f>IF(SUM(L17:L34)=0,0,SUM(K17:K34)/SUM(L17:L34))</f>
        <v>0</v>
      </c>
      <c r="C5" s="58"/>
      <c r="D5" s="3" t="str">
        <f>"complétude globale  ·  "&amp;SUM(K17:K34)&amp;" / "&amp;SUM(L17:L34)&amp;" champs obligatoires"</f>
        <v>complétude globale  ·  0 / 46 champs obligatoires</v>
      </c>
    </row>
    <row r="6" spans="2:10" ht="30" customHeight="1" x14ac:dyDescent="0.25">
      <c r="B6" s="58"/>
      <c r="C6" s="58"/>
      <c r="D6" s="4" t="str">
        <f>COUNTIF(J17:J34,"Complet")&amp;" onglets complets sur 14  ·  "&amp;COUNTIF(J17:J34,"À démarrer")&amp;" à démarrer"</f>
        <v>0 onglets complets sur 14  ·  14 à démarrer</v>
      </c>
    </row>
    <row r="7" spans="2:10" ht="14.1" customHeight="1" x14ac:dyDescent="0.25"/>
    <row r="8" spans="2:10" ht="20.100000000000001" customHeight="1" x14ac:dyDescent="0.25">
      <c r="B8" s="5" t="s">
        <v>2</v>
      </c>
      <c r="C8" s="60" t="s">
        <v>3</v>
      </c>
      <c r="D8" s="58"/>
      <c r="E8" s="58"/>
      <c r="F8" s="58"/>
      <c r="G8" s="58"/>
      <c r="H8" s="58"/>
      <c r="I8" s="58"/>
      <c r="J8" s="58"/>
    </row>
    <row r="9" spans="2:10" ht="20.100000000000001" customHeight="1" x14ac:dyDescent="0.25">
      <c r="B9" s="5" t="s">
        <v>4</v>
      </c>
      <c r="C9" s="60" t="s">
        <v>5</v>
      </c>
      <c r="D9" s="58"/>
      <c r="E9" s="58"/>
      <c r="F9" s="58"/>
      <c r="G9" s="58"/>
      <c r="H9" s="58"/>
      <c r="I9" s="58"/>
      <c r="J9" s="58"/>
    </row>
    <row r="10" spans="2:10" ht="20.100000000000001" customHeight="1" x14ac:dyDescent="0.25">
      <c r="B10" s="5" t="s">
        <v>6</v>
      </c>
      <c r="C10" s="60" t="s">
        <v>7</v>
      </c>
      <c r="D10" s="58"/>
      <c r="E10" s="58"/>
      <c r="F10" s="58"/>
      <c r="G10" s="58"/>
      <c r="H10" s="58"/>
      <c r="I10" s="58"/>
      <c r="J10" s="58"/>
    </row>
    <row r="11" spans="2:10" ht="9.9499999999999993" customHeight="1" x14ac:dyDescent="0.25"/>
    <row r="12" spans="2:10" ht="18" customHeight="1" x14ac:dyDescent="0.25">
      <c r="C12" s="58" t="s">
        <v>8</v>
      </c>
      <c r="D12" s="58"/>
      <c r="E12" s="58"/>
      <c r="F12" s="58"/>
      <c r="G12" s="58"/>
      <c r="H12" s="58"/>
      <c r="I12" s="58"/>
      <c r="J12" s="58"/>
    </row>
    <row r="13" spans="2:10" ht="8.1" customHeight="1" x14ac:dyDescent="0.25"/>
    <row r="14" spans="2:10" ht="20.100000000000001" customHeight="1" x14ac:dyDescent="0.25">
      <c r="C14" s="6" t="s">
        <v>9</v>
      </c>
      <c r="D14" s="7" t="s">
        <v>10</v>
      </c>
    </row>
    <row r="15" spans="2:10" ht="12" customHeight="1" x14ac:dyDescent="0.25"/>
    <row r="16" spans="2:10" ht="24" customHeight="1" x14ac:dyDescent="0.25">
      <c r="B16" s="8" t="s">
        <v>11</v>
      </c>
      <c r="C16" s="8" t="s">
        <v>12</v>
      </c>
      <c r="D16" s="8" t="s">
        <v>13</v>
      </c>
      <c r="E16" s="8" t="s">
        <v>14</v>
      </c>
      <c r="F16" s="9" t="s">
        <v>15</v>
      </c>
      <c r="G16" s="9" t="s">
        <v>16</v>
      </c>
      <c r="H16" s="8" t="s">
        <v>17</v>
      </c>
      <c r="I16" s="9" t="s">
        <v>18</v>
      </c>
      <c r="J16" s="8" t="s">
        <v>19</v>
      </c>
    </row>
    <row r="17" spans="2:12" ht="26.1" customHeight="1" x14ac:dyDescent="0.25">
      <c r="C17" s="10" t="s">
        <v>20</v>
      </c>
    </row>
    <row r="18" spans="2:12" ht="26.1" customHeight="1" x14ac:dyDescent="0.25">
      <c r="B18" s="11" t="s">
        <v>21</v>
      </c>
      <c r="C18" s="12" t="s">
        <v>22</v>
      </c>
      <c r="D18" s="13" t="s">
        <v>23</v>
      </c>
      <c r="E18" s="14" t="s">
        <v>24</v>
      </c>
      <c r="F18" s="15">
        <f>SUMPRODUCT(((('01 Équipes'!$B$9:$B$38&lt;&gt;"")+('01 Équipes'!$C$9:$C$38&lt;&gt;""))&gt;0)*1)</f>
        <v>0</v>
      </c>
      <c r="G18" s="16" t="str">
        <f>K18&amp;" / "&amp;L18</f>
        <v>0 / 1</v>
      </c>
      <c r="H18" s="17" t="str">
        <f>REPT("━",ROUND(I18*12,0))</f>
        <v/>
      </c>
      <c r="I18" s="18">
        <f>K18/L18</f>
        <v>0</v>
      </c>
      <c r="J18" s="12" t="str">
        <f>IF(I18&gt;=1,"Complet",IF(K18=0,"À démarrer","En cours"))</f>
        <v>À démarrer</v>
      </c>
      <c r="K18" s="19">
        <f>SUMPRODUCT(((('01 Équipes'!$B$9:$B$38&lt;&gt;"")+('01 Équipes'!$C$9:$C$38&lt;&gt;""))&gt;0)*('01 Équipes'!$B$9:$B$38&lt;&gt;""))</f>
        <v>0</v>
      </c>
      <c r="L18" s="19">
        <f>MAX(1,F18)*1</f>
        <v>1</v>
      </c>
    </row>
    <row r="19" spans="2:12" ht="26.1" customHeight="1" x14ac:dyDescent="0.25">
      <c r="B19" s="11" t="s">
        <v>25</v>
      </c>
      <c r="C19" s="12" t="s">
        <v>26</v>
      </c>
      <c r="D19" s="13" t="s">
        <v>27</v>
      </c>
      <c r="E19" s="14" t="s">
        <v>24</v>
      </c>
      <c r="F19" s="15">
        <f>SUMPRODUCT(((('02 Rôles'!$B$9:$B$48&lt;&gt;"")+('02 Rôles'!$C$9:$C$48&lt;&gt;""))&gt;0)*1)</f>
        <v>0</v>
      </c>
      <c r="G19" s="16" t="str">
        <f>K19&amp;" / "&amp;L19</f>
        <v>0 / 1</v>
      </c>
      <c r="H19" s="17" t="str">
        <f>REPT("━",ROUND(I19*12,0))</f>
        <v/>
      </c>
      <c r="I19" s="18">
        <f>K19/L19</f>
        <v>0</v>
      </c>
      <c r="J19" s="12" t="str">
        <f>IF(I19&gt;=1,"Complet",IF(K19=0,"À démarrer","En cours"))</f>
        <v>À démarrer</v>
      </c>
      <c r="K19" s="19">
        <f>SUMPRODUCT(((('02 Rôles'!$B$9:$B$48&lt;&gt;"")+('02 Rôles'!$C$9:$C$48&lt;&gt;""))&gt;0)*('02 Rôles'!$B$9:$B$48&lt;&gt;""))</f>
        <v>0</v>
      </c>
      <c r="L19" s="19">
        <f>MAX(1,F19)*1</f>
        <v>1</v>
      </c>
    </row>
    <row r="20" spans="2:12" ht="26.1" customHeight="1" x14ac:dyDescent="0.25">
      <c r="B20" s="11" t="s">
        <v>28</v>
      </c>
      <c r="C20" s="12" t="s">
        <v>29</v>
      </c>
      <c r="D20" s="13" t="s">
        <v>30</v>
      </c>
      <c r="E20" s="14" t="s">
        <v>22</v>
      </c>
      <c r="F20" s="15">
        <f>SUMPRODUCT(((('03 Personnes'!$B$9:$B$158&lt;&gt;"")+('03 Personnes'!$C$9:$C$158&lt;&gt;"")+('03 Personnes'!$D$9:$D$158&lt;&gt;"")+('03 Personnes'!$E$9:$E$158&lt;&gt;"")+('03 Personnes'!$F$9:$F$158&lt;&gt;"")+('03 Personnes'!$G$9:$G$158&lt;&gt;""))&gt;0)*1)</f>
        <v>0</v>
      </c>
      <c r="G20" s="16" t="str">
        <f>K20&amp;" / "&amp;L20</f>
        <v>0 / 4</v>
      </c>
      <c r="H20" s="17" t="str">
        <f>REPT("━",ROUND(I20*12,0))</f>
        <v/>
      </c>
      <c r="I20" s="18">
        <f>K20/L20</f>
        <v>0</v>
      </c>
      <c r="J20" s="12" t="str">
        <f>IF(I20&gt;=1,"Complet",IF(K20=0,"À démarrer","En cours"))</f>
        <v>À démarrer</v>
      </c>
      <c r="K20" s="19">
        <f>SUMPRODUCT(((('03 Personnes'!$B$9:$B$158&lt;&gt;"")+('03 Personnes'!$C$9:$C$158&lt;&gt;"")+('03 Personnes'!$D$9:$D$158&lt;&gt;"")+('03 Personnes'!$E$9:$E$158&lt;&gt;"")+('03 Personnes'!$F$9:$F$158&lt;&gt;"")+('03 Personnes'!$G$9:$G$158&lt;&gt;""))&gt;0)*('03 Personnes'!$B$9:$B$158&lt;&gt;""))+SUMPRODUCT(((('03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Personnes'!$C$9:$C$158&lt;&gt;""))+SUMPRODUCT(((('03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Personnes'!$D$9:$D$158&lt;&gt;""))+SUMPRODUCT(((('03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Personnes'!$F$9:$F$158&lt;&gt;""))</f>
        <v>0</v>
      </c>
      <c r="L20" s="19">
        <f>MAX(1,F20)*4</f>
        <v>4</v>
      </c>
    </row>
    <row r="21" spans="2:12" ht="26.1" customHeight="1" x14ac:dyDescent="0.25">
      <c r="B21" s="11" t="s">
        <v>31</v>
      </c>
      <c r="C21" s="12" t="s">
        <v>32</v>
      </c>
      <c r="D21" s="13" t="s">
        <v>33</v>
      </c>
      <c r="E21" s="14" t="s">
        <v>34</v>
      </c>
      <c r="F21" s="15">
        <f>SUMPRODUCT(((('04 Affectations'!$B$9:$B$208&lt;&gt;"")+('04 Affectations'!$C$9:$C$208&lt;&gt;"")+('04 Affectations'!$E$9:$E$208&lt;&gt;"")+('04 Affectations'!$F$9:$F$208&lt;&gt;""))&gt;0)*1)</f>
        <v>0</v>
      </c>
      <c r="G21" s="16" t="str">
        <f>K21&amp;" / "&amp;L21</f>
        <v>0 / 3</v>
      </c>
      <c r="H21" s="17" t="str">
        <f>REPT("━",ROUND(I21*12,0))</f>
        <v/>
      </c>
      <c r="I21" s="18">
        <f>K21/L21</f>
        <v>0</v>
      </c>
      <c r="J21" s="12" t="str">
        <f>IF(I21&gt;=1,"Complet",IF(K21=0,"À démarrer","En cours"))</f>
        <v>À démarrer</v>
      </c>
      <c r="K21" s="19">
        <f>SUMPRODUCT(((('04 Affectations'!$B$9:$B$208&lt;&gt;"")+('04 Affectations'!$C$9:$C$208&lt;&gt;"")+('04 Affectations'!$E$9:$E$208&lt;&gt;"")+('04 Affectations'!$F$9:$F$208&lt;&gt;""))&gt;0)*('04 Affectations'!$B$9:$B$208&lt;&gt;""))+SUMPRODUCT(((('04 Affectations'!$B$9:$B$208&lt;&gt;"")+('04 Affectations'!$C$9:$C$208&lt;&gt;"")+('04 Affectations'!$E$9:$E$208&lt;&gt;"")+('04 Affectations'!$F$9:$F$208&lt;&gt;""))&gt;0)*('04 Affectations'!$C$9:$C$208&lt;&gt;""))+SUMPRODUCT(((('04 Affectations'!$B$9:$B$208&lt;&gt;"")+('04 Affectations'!$C$9:$C$208&lt;&gt;"")+('04 Affectations'!$E$9:$E$208&lt;&gt;"")+('04 Affectations'!$F$9:$F$208&lt;&gt;""))&gt;0)*('04 Affectations'!$E$9:$E$208&lt;&gt;""))</f>
        <v>0</v>
      </c>
      <c r="L21" s="19">
        <f>MAX(1,F21)*3</f>
        <v>3</v>
      </c>
    </row>
    <row r="22" spans="2:12" ht="26.1" customHeight="1" x14ac:dyDescent="0.25">
      <c r="C22" s="20" t="s">
        <v>35</v>
      </c>
    </row>
    <row r="23" spans="2:12" ht="26.1" customHeight="1" x14ac:dyDescent="0.25">
      <c r="B23" s="11" t="s">
        <v>36</v>
      </c>
      <c r="C23" s="12" t="s">
        <v>37</v>
      </c>
      <c r="D23" s="13" t="s">
        <v>38</v>
      </c>
      <c r="E23" s="14" t="s">
        <v>39</v>
      </c>
      <c r="F23" s="15" t="s">
        <v>24</v>
      </c>
      <c r="G23" s="16" t="str">
        <f t="shared" ref="G23:G28" si="0">K23&amp;" / "&amp;L23</f>
        <v>0 / 8</v>
      </c>
      <c r="H23" s="21" t="str">
        <f t="shared" ref="H23:H28" si="1">REPT("━",ROUND(I23*12,0))</f>
        <v/>
      </c>
      <c r="I23" s="18">
        <f t="shared" ref="I23:I28" si="2">K23/L23</f>
        <v>0</v>
      </c>
      <c r="J23" s="12" t="str">
        <f t="shared" ref="J23:J28" si="3">IF(I23&gt;=1,"Complet",IF(K23=0,"À démarrer","En cours"))</f>
        <v>À démarrer</v>
      </c>
      <c r="K23" s="19">
        <f>('05 Projet'!D8&lt;&gt;"")+('05 Projet'!D10&lt;&gt;"")+('05 Projet'!D14&lt;&gt;"")+('05 Projet'!D15&lt;&gt;"")+('05 Projet'!D19&lt;&gt;"")+('05 Projet'!D20&lt;&gt;"")+('05 Projet'!D21&lt;&gt;"")+('05 Projet'!D23&lt;&gt;"")</f>
        <v>0</v>
      </c>
      <c r="L23" s="19">
        <f>8</f>
        <v>8</v>
      </c>
    </row>
    <row r="24" spans="2:12" ht="26.1" customHeight="1" x14ac:dyDescent="0.25">
      <c r="B24" s="11" t="s">
        <v>40</v>
      </c>
      <c r="C24" s="12" t="s">
        <v>41</v>
      </c>
      <c r="D24" s="13" t="s">
        <v>42</v>
      </c>
      <c r="E24" s="14" t="s">
        <v>37</v>
      </c>
      <c r="F24" s="15">
        <f>SUMPRODUCT(((('06 Info projet'!$B$9:$B$128&lt;&gt;"")+('06 Info projet'!$C$9:$C$128&lt;&gt;"")+('06 Info projet'!$D$9:$D$128&lt;&gt;""))&gt;0)*1)</f>
        <v>0</v>
      </c>
      <c r="G24" s="16" t="str">
        <f t="shared" si="0"/>
        <v>0 / 2</v>
      </c>
      <c r="H24" s="21" t="str">
        <f t="shared" si="1"/>
        <v/>
      </c>
      <c r="I24" s="18">
        <f t="shared" si="2"/>
        <v>0</v>
      </c>
      <c r="J24" s="12" t="str">
        <f t="shared" si="3"/>
        <v>À démarrer</v>
      </c>
      <c r="K24" s="19">
        <f>(COUNTIFS('06 Info projet'!$B$9:$B$128,"Programme en une phrase",'06 Info projet'!$D$9:$D$128,"&lt;&gt;")&gt;0)+(COUNTIFS('06 Info projet'!$B$9:$B$128,"Enjeux stratégiques",'06 Info projet'!$D$9:$D$128,"&lt;&gt;")&gt;0)</f>
        <v>0</v>
      </c>
      <c r="L24" s="19">
        <f>2</f>
        <v>2</v>
      </c>
    </row>
    <row r="25" spans="2:12" ht="26.1" customHeight="1" x14ac:dyDescent="0.25">
      <c r="B25" s="11" t="s">
        <v>43</v>
      </c>
      <c r="C25" s="12" t="s">
        <v>44</v>
      </c>
      <c r="D25" s="13" t="s">
        <v>45</v>
      </c>
      <c r="E25" s="14" t="s">
        <v>29</v>
      </c>
      <c r="F25" s="15">
        <f>SUMPRODUCT(((('07 Lots'!$C$9:$C$38&lt;&gt;"")+('07 Lots'!$D$9:$D$38&lt;&gt;"")+('07 Lots'!$E$9:$E$38&lt;&gt;"")+('07 Lots'!$F$9:$F$38&lt;&gt;"")+('07 Lots'!$G$9:$G$38&lt;&gt;"")+('07 Lots'!$H$9:$H$38&lt;&gt;""))&gt;0)*1)</f>
        <v>0</v>
      </c>
      <c r="G25" s="16" t="str">
        <f t="shared" si="0"/>
        <v>0 / 4</v>
      </c>
      <c r="H25" s="21" t="str">
        <f t="shared" si="1"/>
        <v/>
      </c>
      <c r="I25" s="18">
        <f t="shared" si="2"/>
        <v>0</v>
      </c>
      <c r="J25" s="12" t="str">
        <f t="shared" si="3"/>
        <v>À démarrer</v>
      </c>
      <c r="K25" s="19">
        <f>SUMPRODUCT(((('07 Lots'!$C$9:$C$38&lt;&gt;"")+('07 Lots'!$D$9:$D$38&lt;&gt;"")+('07 Lots'!$E$9:$E$38&lt;&gt;"")+('07 Lots'!$F$9:$F$38&lt;&gt;"")+('07 Lots'!$G$9:$G$38&lt;&gt;"")+('07 Lots'!$H$9:$H$38&lt;&gt;""))&gt;0)*('07 Lots'!$C$9:$C$38&lt;&gt;""))+SUMPRODUCT(((('07 Lots'!$C$9:$C$38&lt;&gt;"")+('07 Lots'!$D$9:$D$38&lt;&gt;"")+('07 Lots'!$E$9:$E$38&lt;&gt;"")+('07 Lots'!$F$9:$F$38&lt;&gt;"")+('07 Lots'!$G$9:$G$38&lt;&gt;"")+('07 Lots'!$H$9:$H$38&lt;&gt;""))&gt;0)*('07 Lots'!$D$9:$D$38&lt;&gt;""))+SUMPRODUCT(((('07 Lots'!$C$9:$C$38&lt;&gt;"")+('07 Lots'!$D$9:$D$38&lt;&gt;"")+('07 Lots'!$E$9:$E$38&lt;&gt;"")+('07 Lots'!$F$9:$F$38&lt;&gt;"")+('07 Lots'!$G$9:$G$38&lt;&gt;"")+('07 Lots'!$H$9:$H$38&lt;&gt;""))&gt;0)*('07 Lots'!$E$9:$E$38&lt;&gt;""))+SUMPRODUCT(((('07 Lots'!$C$9:$C$38&lt;&gt;"")+('07 Lots'!$D$9:$D$38&lt;&gt;"")+('07 Lots'!$E$9:$E$38&lt;&gt;"")+('07 Lots'!$F$9:$F$38&lt;&gt;"")+('07 Lots'!$G$9:$G$38&lt;&gt;"")+('07 Lots'!$H$9:$H$38&lt;&gt;""))&gt;0)*('07 Lots'!$F$9:$F$38&lt;&gt;""))</f>
        <v>0</v>
      </c>
      <c r="L25" s="19">
        <f>MAX(1,F25)*4</f>
        <v>4</v>
      </c>
    </row>
    <row r="26" spans="2:12" ht="26.1" customHeight="1" x14ac:dyDescent="0.25">
      <c r="B26" s="11" t="s">
        <v>46</v>
      </c>
      <c r="C26" s="12" t="s">
        <v>47</v>
      </c>
      <c r="D26" s="13" t="s">
        <v>48</v>
      </c>
      <c r="E26" s="14" t="s">
        <v>44</v>
      </c>
      <c r="F26" s="15">
        <f>SUMPRODUCT(((('08 Phases'!$C$9:$C$38&lt;&gt;"")+('08 Phases'!$D$9:$D$38&lt;&gt;"")+('08 Phases'!$E$9:$E$38&lt;&gt;"")+('08 Phases'!$F$9:$F$38&lt;&gt;"")+('08 Phases'!$G$9:$G$38&lt;&gt;"")+('08 Phases'!$H$9:$H$38&lt;&gt;"")+('08 Phases'!$I$9:$I$38&lt;&gt;""))&gt;0)*1)</f>
        <v>0</v>
      </c>
      <c r="G26" s="16" t="str">
        <f t="shared" si="0"/>
        <v>0 / 5</v>
      </c>
      <c r="H26" s="21" t="str">
        <f t="shared" si="1"/>
        <v/>
      </c>
      <c r="I26" s="18">
        <f t="shared" si="2"/>
        <v>0</v>
      </c>
      <c r="J26" s="12" t="str">
        <f t="shared" si="3"/>
        <v>À démarrer</v>
      </c>
      <c r="K26" s="19">
        <f>SUMPRODUCT(((('08 Phases'!$C$9:$C$38&lt;&gt;"")+('08 Phases'!$D$9:$D$38&lt;&gt;"")+('08 Phases'!$E$9:$E$38&lt;&gt;"")+('08 Phases'!$F$9:$F$38&lt;&gt;"")+('08 Phases'!$G$9:$G$38&lt;&gt;"")+('08 Phases'!$H$9:$H$38&lt;&gt;"")+('08 Phases'!$I$9:$I$38&lt;&gt;""))&gt;0)*('08 Phases'!$C$9:$C$38&lt;&gt;""))+SUMPRODUCT(((('08 Phases'!$C$9:$C$38&lt;&gt;"")+('08 Phases'!$D$9:$D$38&lt;&gt;"")+('08 Phases'!$E$9:$E$38&lt;&gt;"")+('08 Phases'!$F$9:$F$38&lt;&gt;"")+('08 Phases'!$G$9:$G$38&lt;&gt;"")+('08 Phases'!$H$9:$H$38&lt;&gt;"")+('08 Phases'!$I$9:$I$38&lt;&gt;""))&gt;0)*('08 Phases'!$D$9:$D$38&lt;&gt;""))+SUMPRODUCT(((('08 Phases'!$C$9:$C$38&lt;&gt;"")+('08 Phases'!$D$9:$D$38&lt;&gt;"")+('08 Phases'!$E$9:$E$38&lt;&gt;"")+('08 Phases'!$F$9:$F$38&lt;&gt;"")+('08 Phases'!$G$9:$G$38&lt;&gt;"")+('08 Phases'!$H$9:$H$38&lt;&gt;"")+('08 Phases'!$I$9:$I$38&lt;&gt;""))&gt;0)*('08 Phases'!$E$9:$E$38&lt;&gt;""))+SUMPRODUCT(((('08 Phases'!$C$9:$C$38&lt;&gt;"")+('08 Phases'!$D$9:$D$38&lt;&gt;"")+('08 Phases'!$E$9:$E$38&lt;&gt;"")+('08 Phases'!$F$9:$F$38&lt;&gt;"")+('08 Phases'!$G$9:$G$38&lt;&gt;"")+('08 Phases'!$H$9:$H$38&lt;&gt;"")+('08 Phases'!$I$9:$I$38&lt;&gt;""))&gt;0)*('08 Phases'!$F$9:$F$38&lt;&gt;""))+SUMPRODUCT(((('08 Phases'!$C$9:$C$38&lt;&gt;"")+('08 Phases'!$D$9:$D$38&lt;&gt;"")+('08 Phases'!$E$9:$E$38&lt;&gt;"")+('08 Phases'!$F$9:$F$38&lt;&gt;"")+('08 Phases'!$G$9:$G$38&lt;&gt;"")+('08 Phases'!$H$9:$H$38&lt;&gt;"")+('08 Phases'!$I$9:$I$38&lt;&gt;""))&gt;0)*('08 Phases'!$G$9:$G$38&lt;&gt;""))</f>
        <v>0</v>
      </c>
      <c r="L26" s="19">
        <f>MAX(1,F26)*5</f>
        <v>5</v>
      </c>
    </row>
    <row r="27" spans="2:12" ht="26.1" customHeight="1" x14ac:dyDescent="0.25">
      <c r="B27" s="11" t="s">
        <v>49</v>
      </c>
      <c r="C27" s="12" t="s">
        <v>50</v>
      </c>
      <c r="D27" s="13" t="s">
        <v>51</v>
      </c>
      <c r="E27" s="14" t="s">
        <v>47</v>
      </c>
      <c r="F27" s="15">
        <f>SUMPRODUCT(((('09 Sous-phases'!$C$9:$C$88&lt;&gt;"")+('09 Sous-phases'!$D$9:$D$88&lt;&gt;"")+('09 Sous-phases'!$E$9:$E$88&lt;&gt;"")+('09 Sous-phases'!$F$9:$F$88&lt;&gt;"")+('09 Sous-phases'!$G$9:$G$88&lt;&gt;"")+('09 Sous-phases'!$H$9:$H$88&lt;&gt;"")+('09 Sous-phases'!$I$9:$I$88&lt;&gt;""))&gt;0)*1)</f>
        <v>0</v>
      </c>
      <c r="G27" s="16" t="str">
        <f t="shared" si="0"/>
        <v>0 / 3</v>
      </c>
      <c r="H27" s="21" t="str">
        <f t="shared" si="1"/>
        <v/>
      </c>
      <c r="I27" s="18">
        <f t="shared" si="2"/>
        <v>0</v>
      </c>
      <c r="J27" s="12" t="str">
        <f t="shared" si="3"/>
        <v>À démarrer</v>
      </c>
      <c r="K27" s="19">
        <f>SUMPRODUCT(((('09 Sous-phases'!$C$9:$C$88&lt;&gt;"")+('09 Sous-phases'!$D$9:$D$88&lt;&gt;"")+('09 Sous-phases'!$E$9:$E$88&lt;&gt;"")+('09 Sous-phases'!$F$9:$F$88&lt;&gt;"")+('09 Sous-phases'!$G$9:$G$88&lt;&gt;"")+('09 Sous-phases'!$H$9:$H$88&lt;&gt;"")+('09 Sous-phases'!$I$9:$I$88&lt;&gt;""))&gt;0)*('09 Sous-phases'!$C$9:$C$88&lt;&gt;""))+SUMPRODUCT(((('09 Sous-phases'!$C$9:$C$88&lt;&gt;"")+('09 Sous-phases'!$D$9:$D$88&lt;&gt;"")+('09 Sous-phases'!$E$9:$E$88&lt;&gt;"")+('09 Sous-phases'!$F$9:$F$88&lt;&gt;"")+('09 Sous-phases'!$G$9:$G$88&lt;&gt;"")+('09 Sous-phases'!$H$9:$H$88&lt;&gt;"")+('09 Sous-phases'!$I$9:$I$88&lt;&gt;""))&gt;0)*('09 Sous-phases'!$D$9:$D$88&lt;&gt;""))+SUMPRODUCT(((('09 Sous-phases'!$C$9:$C$88&lt;&gt;"")+('09 Sous-phases'!$D$9:$D$88&lt;&gt;"")+('09 Sous-phases'!$E$9:$E$88&lt;&gt;"")+('09 Sous-phases'!$F$9:$F$88&lt;&gt;"")+('09 Sous-phases'!$G$9:$G$88&lt;&gt;"")+('09 Sous-phases'!$H$9:$H$88&lt;&gt;"")+('09 Sous-phases'!$I$9:$I$88&lt;&gt;""))&gt;0)*('09 Sous-phases'!$E$9:$E$88&lt;&gt;""))</f>
        <v>0</v>
      </c>
      <c r="L27" s="19">
        <f>MAX(1,F27)*3</f>
        <v>3</v>
      </c>
    </row>
    <row r="28" spans="2:12" ht="26.1" customHeight="1" x14ac:dyDescent="0.25">
      <c r="B28" s="11" t="s">
        <v>52</v>
      </c>
      <c r="C28" s="12" t="s">
        <v>53</v>
      </c>
      <c r="D28" s="13" t="s">
        <v>54</v>
      </c>
      <c r="E28" s="14" t="s">
        <v>55</v>
      </c>
      <c r="F28" s="15">
        <f>SUMPRODUCT(((('10 Chantiers'!$C$9:$C$38&lt;&gt;"")+('10 Chantiers'!$D$9:$D$38&lt;&gt;"")+('10 Chantiers'!$E$9:$E$38&lt;&gt;"")+('10 Chantiers'!$F$9:$F$38&lt;&gt;"")+('10 Chantiers'!$I$9:$I$38&lt;&gt;"")+('10 Chantiers'!$J$9:$J$38&lt;&gt;"")+('10 Chantiers'!$K$9:$K$38&lt;&gt;"")+('10 Chantiers'!$L$9:$L$38&lt;&gt;""))&gt;0)*1)</f>
        <v>0</v>
      </c>
      <c r="G28" s="16" t="str">
        <f t="shared" si="0"/>
        <v>0 / 2</v>
      </c>
      <c r="H28" s="21" t="str">
        <f t="shared" si="1"/>
        <v/>
      </c>
      <c r="I28" s="18">
        <f t="shared" si="2"/>
        <v>0</v>
      </c>
      <c r="J28" s="12" t="str">
        <f t="shared" si="3"/>
        <v>À démarrer</v>
      </c>
      <c r="K28" s="19">
        <f>SUMPRODUCT(((('10 Chantiers'!$C$9:$C$38&lt;&gt;"")+('10 Chantiers'!$D$9:$D$38&lt;&gt;"")+('10 Chantiers'!$E$9:$E$38&lt;&gt;"")+('10 Chantiers'!$F$9:$F$38&lt;&gt;"")+('10 Chantiers'!$I$9:$I$38&lt;&gt;"")+('10 Chantiers'!$J$9:$J$38&lt;&gt;"")+('10 Chantiers'!$K$9:$K$38&lt;&gt;"")+('10 Chantiers'!$L$9:$L$38&lt;&gt;""))&gt;0)*('10 Chantiers'!$C$9:$C$38&lt;&gt;""))+SUMPRODUCT(((('10 Chantiers'!$C$9:$C$38&lt;&gt;"")+('10 Chantiers'!$D$9:$D$38&lt;&gt;"")+('10 Chantiers'!$E$9:$E$38&lt;&gt;"")+('10 Chantiers'!$F$9:$F$38&lt;&gt;"")+('10 Chantiers'!$I$9:$I$38&lt;&gt;"")+('10 Chantiers'!$J$9:$J$38&lt;&gt;"")+('10 Chantiers'!$K$9:$K$38&lt;&gt;"")+('10 Chantiers'!$L$9:$L$38&lt;&gt;""))&gt;0)*('10 Chantiers'!$D$9:$D$38&lt;&gt;""))</f>
        <v>0</v>
      </c>
      <c r="L28" s="19">
        <f>MAX(1,F28)*2</f>
        <v>2</v>
      </c>
    </row>
    <row r="29" spans="2:12" ht="26.1" customHeight="1" x14ac:dyDescent="0.25">
      <c r="C29" s="22" t="s">
        <v>56</v>
      </c>
    </row>
    <row r="30" spans="2:12" ht="26.1" customHeight="1" x14ac:dyDescent="0.25">
      <c r="B30" s="11" t="s">
        <v>57</v>
      </c>
      <c r="C30" s="12" t="s">
        <v>58</v>
      </c>
      <c r="D30" s="13" t="s">
        <v>59</v>
      </c>
      <c r="E30" s="14" t="s">
        <v>24</v>
      </c>
      <c r="F30" s="15">
        <f>SUMPRODUCT(((('11 Instances'!$B$9:$B$28&lt;&gt;"")+('11 Instances'!$C$9:$C$28&lt;&gt;"")+('11 Instances'!$D$9:$D$28&lt;&gt;"")+('11 Instances'!$F$9:$F$28&lt;&gt;"")+('11 Instances'!$G$9:$G$28&lt;&gt;"")+('11 Instances'!$H$9:$H$28&lt;&gt;""))&gt;0)*1)</f>
        <v>0</v>
      </c>
      <c r="G30" s="16" t="str">
        <f>K30&amp;" / "&amp;L30</f>
        <v>0 / 4</v>
      </c>
      <c r="H30" s="23" t="str">
        <f>REPT("━",ROUND(I30*12,0))</f>
        <v/>
      </c>
      <c r="I30" s="18">
        <f>K30/L30</f>
        <v>0</v>
      </c>
      <c r="J30" s="12" t="str">
        <f>IF(I30&gt;=1,"Complet",IF(K30=0,"À démarrer","En cours"))</f>
        <v>À démarrer</v>
      </c>
      <c r="K30" s="19">
        <f>SUMPRODUCT(((('11 Instances'!$B$9:$B$28&lt;&gt;"")+('11 Instances'!$C$9:$C$28&lt;&gt;"")+('11 Instances'!$D$9:$D$28&lt;&gt;"")+('11 Instances'!$F$9:$F$28&lt;&gt;"")+('11 Instances'!$G$9:$G$28&lt;&gt;"")+('11 Instances'!$H$9:$H$28&lt;&gt;""))&gt;0)*('11 Instances'!$B$9:$B$28&lt;&gt;""))+SUMPRODUCT(((('11 Instances'!$B$9:$B$28&lt;&gt;"")+('11 Instances'!$C$9:$C$28&lt;&gt;"")+('11 Instances'!$D$9:$D$28&lt;&gt;"")+('11 Instances'!$F$9:$F$28&lt;&gt;"")+('11 Instances'!$G$9:$G$28&lt;&gt;"")+('11 Instances'!$H$9:$H$28&lt;&gt;""))&gt;0)*('11 Instances'!$C$9:$C$28&lt;&gt;""))+SUMPRODUCT(((('11 Instances'!$B$9:$B$28&lt;&gt;"")+('11 Instances'!$C$9:$C$28&lt;&gt;"")+('11 Instances'!$D$9:$D$28&lt;&gt;"")+('11 Instances'!$F$9:$F$28&lt;&gt;"")+('11 Instances'!$G$9:$G$28&lt;&gt;"")+('11 Instances'!$H$9:$H$28&lt;&gt;""))&gt;0)*('11 Instances'!$D$9:$D$28&lt;&gt;""))+SUMPRODUCT(((('11 Instances'!$B$9:$B$28&lt;&gt;"")+('11 Instances'!$C$9:$C$28&lt;&gt;"")+('11 Instances'!$D$9:$D$28&lt;&gt;"")+('11 Instances'!$F$9:$F$28&lt;&gt;"")+('11 Instances'!$G$9:$G$28&lt;&gt;"")+('11 Instances'!$H$9:$H$28&lt;&gt;""))&gt;0)*('11 Instances'!$F$9:$F$28&lt;&gt;""))</f>
        <v>0</v>
      </c>
      <c r="L30" s="19">
        <f>MAX(1,F30)*4</f>
        <v>4</v>
      </c>
    </row>
    <row r="31" spans="2:12" ht="26.1" customHeight="1" x14ac:dyDescent="0.25">
      <c r="B31" s="11" t="s">
        <v>60</v>
      </c>
      <c r="C31" s="12" t="s">
        <v>61</v>
      </c>
      <c r="D31" s="13" t="s">
        <v>62</v>
      </c>
      <c r="E31" s="14" t="s">
        <v>63</v>
      </c>
      <c r="F31" s="15">
        <f>SUMPRODUCT(((('12 Membres'!$B$9:$B$208&lt;&gt;"")+('12 Membres'!$C$9:$C$208&lt;&gt;"")+('12 Membres'!$D$9:$D$208&lt;&gt;""))&gt;0)*1)</f>
        <v>0</v>
      </c>
      <c r="G31" s="16" t="str">
        <f>K31&amp;" / "&amp;L31</f>
        <v>0 / 2</v>
      </c>
      <c r="H31" s="23" t="str">
        <f>REPT("━",ROUND(I31*12,0))</f>
        <v/>
      </c>
      <c r="I31" s="18">
        <f>K31/L31</f>
        <v>0</v>
      </c>
      <c r="J31" s="12" t="str">
        <f>IF(I31&gt;=1,"Complet",IF(K31=0,"À démarrer","En cours"))</f>
        <v>À démarrer</v>
      </c>
      <c r="K31" s="19">
        <f>SUMPRODUCT(((('12 Membres'!$B$9:$B$208&lt;&gt;"")+('12 Membres'!$C$9:$C$208&lt;&gt;"")+('12 Membres'!$D$9:$D$208&lt;&gt;""))&gt;0)*('12 Membres'!$B$9:$B$208&lt;&gt;""))+SUMPRODUCT(((('12 Membres'!$B$9:$B$208&lt;&gt;"")+('12 Membres'!$C$9:$C$208&lt;&gt;"")+('12 Membres'!$D$9:$D$208&lt;&gt;""))&gt;0)*('12 Membres'!$C$9:$C$208&lt;&gt;""))</f>
        <v>0</v>
      </c>
      <c r="L31" s="19">
        <f>MAX(1,F31)*2</f>
        <v>2</v>
      </c>
    </row>
    <row r="32" spans="2:12" ht="26.1" customHeight="1" x14ac:dyDescent="0.25">
      <c r="C32" s="24" t="s">
        <v>64</v>
      </c>
    </row>
    <row r="33" spans="2:12" ht="26.1" customHeight="1" x14ac:dyDescent="0.25">
      <c r="B33" s="11" t="s">
        <v>65</v>
      </c>
      <c r="C33" s="12" t="s">
        <v>66</v>
      </c>
      <c r="D33" s="13" t="s">
        <v>67</v>
      </c>
      <c r="E33" s="14" t="s">
        <v>68</v>
      </c>
      <c r="F33" s="15">
        <f>SUMPRODUCT(((('13 Jalons'!$C$9:$C$108&lt;&gt;"")+('13 Jalons'!$D$9:$D$108&lt;&gt;"")+('13 Jalons'!$E$9:$E$108&lt;&gt;"")+('13 Jalons'!$F$9:$F$108&lt;&gt;"")+('13 Jalons'!$G$9:$G$108&lt;&gt;"")+('13 Jalons'!$H$9:$H$108&lt;&gt;"")+('13 Jalons'!$I$9:$I$108&lt;&gt;"")+('13 Jalons'!$J$9:$J$108&lt;&gt;""))&gt;0)*1)</f>
        <v>0</v>
      </c>
      <c r="G33" s="16" t="str">
        <f>K33&amp;" / "&amp;L33</f>
        <v>0 / 3</v>
      </c>
      <c r="H33" s="25" t="str">
        <f>REPT("━",ROUND(I33*12,0))</f>
        <v/>
      </c>
      <c r="I33" s="18">
        <f>K33/L33</f>
        <v>0</v>
      </c>
      <c r="J33" s="12" t="str">
        <f>IF(I33&gt;=1,"Complet",IF(K33=0,"À démarrer","En cours"))</f>
        <v>À démarrer</v>
      </c>
      <c r="K33" s="19">
        <f>SUMPRODUCT(((('13 Jalons'!$C$9:$C$108&lt;&gt;"")+('13 Jalons'!$D$9:$D$108&lt;&gt;"")+('13 Jalons'!$E$9:$E$108&lt;&gt;"")+('13 Jalons'!$F$9:$F$108&lt;&gt;"")+('13 Jalons'!$G$9:$G$108&lt;&gt;"")+('13 Jalons'!$H$9:$H$108&lt;&gt;"")+('13 Jalons'!$I$9:$I$108&lt;&gt;"")+('13 Jalons'!$J$9:$J$108&lt;&gt;""))&gt;0)*('13 Jalons'!$C$9:$C$108&lt;&gt;""))+SUMPRODUCT(((('13 Jalons'!$C$9:$C$108&lt;&gt;"")+('13 Jalons'!$D$9:$D$108&lt;&gt;"")+('13 Jalons'!$E$9:$E$108&lt;&gt;"")+('13 Jalons'!$F$9:$F$108&lt;&gt;"")+('13 Jalons'!$G$9:$G$108&lt;&gt;"")+('13 Jalons'!$H$9:$H$108&lt;&gt;"")+('13 Jalons'!$I$9:$I$108&lt;&gt;"")+('13 Jalons'!$J$9:$J$108&lt;&gt;""))&gt;0)*('13 Jalons'!$D$9:$D$108&lt;&gt;""))+SUMPRODUCT(((('13 Jalons'!$C$9:$C$108&lt;&gt;"")+('13 Jalons'!$D$9:$D$108&lt;&gt;"")+('13 Jalons'!$E$9:$E$108&lt;&gt;"")+('13 Jalons'!$F$9:$F$108&lt;&gt;"")+('13 Jalons'!$G$9:$G$108&lt;&gt;"")+('13 Jalons'!$H$9:$H$108&lt;&gt;"")+('13 Jalons'!$I$9:$I$108&lt;&gt;"")+('13 Jalons'!$J$9:$J$108&lt;&gt;""))&gt;0)*('13 Jalons'!$I$9:$I$108&lt;&gt;""))</f>
        <v>0</v>
      </c>
      <c r="L33" s="19">
        <f>MAX(1,F33)*3</f>
        <v>3</v>
      </c>
    </row>
    <row r="34" spans="2:12" ht="26.1" customHeight="1" x14ac:dyDescent="0.25">
      <c r="B34" s="11" t="s">
        <v>69</v>
      </c>
      <c r="C34" s="12" t="s">
        <v>70</v>
      </c>
      <c r="D34" s="13" t="s">
        <v>71</v>
      </c>
      <c r="E34" s="14" t="s">
        <v>72</v>
      </c>
      <c r="F34" s="15">
        <f>SUMPRODUCT(((('14 Livrables'!$B$9:$B$158&lt;&gt;"")+('14 Livrables'!$C$9:$C$158&lt;&gt;"")+('14 Livrables'!$D$9:$D$158&lt;&gt;"")+('14 Livrables'!$E$9:$E$158&lt;&gt;"")+('14 Livrables'!$F$9:$F$158&lt;&gt;"")+('14 Livrables'!$G$9:$G$158&lt;&gt;""))&gt;0)*1)</f>
        <v>0</v>
      </c>
      <c r="G34" s="16" t="str">
        <f>K34&amp;" / "&amp;L34</f>
        <v>0 / 4</v>
      </c>
      <c r="H34" s="25" t="str">
        <f>REPT("━",ROUND(I34*12,0))</f>
        <v/>
      </c>
      <c r="I34" s="18">
        <f>K34/L34</f>
        <v>0</v>
      </c>
      <c r="J34" s="12" t="str">
        <f>IF(I34&gt;=1,"Complet",IF(K34=0,"À démarrer","En cours"))</f>
        <v>À démarrer</v>
      </c>
      <c r="K34" s="19">
        <f>SUMPRODUCT(((('14 Livrables'!$B$9:$B$158&lt;&gt;"")+('14 Livrables'!$C$9:$C$158&lt;&gt;"")+('14 Livrables'!$D$9:$D$158&lt;&gt;"")+('14 Livrables'!$E$9:$E$158&lt;&gt;"")+('14 Livrables'!$F$9:$F$158&lt;&gt;"")+('14 Livrables'!$G$9:$G$158&lt;&gt;""))&gt;0)*('14 Livrables'!$B$9:$B$158&lt;&gt;""))+SUMPRODUCT(((('14 Livrables'!$B$9:$B$158&lt;&gt;"")+('14 Livrables'!$C$9:$C$158&lt;&gt;"")+('14 Livrables'!$D$9:$D$158&lt;&gt;"")+('14 Livrables'!$E$9:$E$158&lt;&gt;"")+('14 Livrables'!$F$9:$F$158&lt;&gt;"")+('14 Livrables'!$G$9:$G$158&lt;&gt;""))&gt;0)*('14 Livrables'!$C$9:$C$158&lt;&gt;""))+SUMPRODUCT(((('14 Livrables'!$B$9:$B$158&lt;&gt;"")+('14 Livrables'!$C$9:$C$158&lt;&gt;"")+('14 Livrables'!$D$9:$D$158&lt;&gt;"")+('14 Livrables'!$E$9:$E$158&lt;&gt;"")+('14 Livrables'!$F$9:$F$158&lt;&gt;"")+('14 Livrables'!$G$9:$G$158&lt;&gt;""))&gt;0)*('14 Livrables'!$E$9:$E$158&lt;&gt;""))+SUMPRODUCT(((('14 Livrables'!$B$9:$B$158&lt;&gt;"")+('14 Livrables'!$C$9:$C$158&lt;&gt;"")+('14 Livrables'!$D$9:$D$158&lt;&gt;"")+('14 Livrables'!$E$9:$E$158&lt;&gt;"")+('14 Livrables'!$F$9:$F$158&lt;&gt;"")+('14 Livrables'!$G$9:$G$158&lt;&gt;""))&gt;0)*('14 Livrables'!$G$9:$G$158&lt;&gt;""))</f>
        <v>0</v>
      </c>
      <c r="L34" s="19">
        <f>MAX(1,F34)*4</f>
        <v>4</v>
      </c>
    </row>
    <row r="36" spans="2:12" ht="15.95" customHeight="1" x14ac:dyDescent="0.25">
      <c r="B36" s="59" t="s">
        <v>73</v>
      </c>
      <c r="C36" s="58"/>
      <c r="D36" s="58"/>
      <c r="E36" s="58"/>
      <c r="F36" s="58"/>
      <c r="G36" s="58"/>
      <c r="H36" s="58"/>
      <c r="I36" s="58"/>
      <c r="J36" s="58"/>
    </row>
    <row r="37" spans="2:12" ht="15.95" customHeight="1" x14ac:dyDescent="0.25">
      <c r="B37" s="59" t="s">
        <v>74</v>
      </c>
      <c r="C37" s="58"/>
      <c r="D37" s="58"/>
      <c r="E37" s="58"/>
      <c r="F37" s="58"/>
      <c r="G37" s="58"/>
      <c r="H37" s="58"/>
      <c r="I37" s="58"/>
      <c r="J37" s="58"/>
    </row>
    <row r="38" spans="2:12" ht="15.95" customHeight="1" x14ac:dyDescent="0.25">
      <c r="B38" s="59" t="s">
        <v>75</v>
      </c>
      <c r="C38" s="58"/>
      <c r="D38" s="58"/>
      <c r="E38" s="58"/>
      <c r="F38" s="58"/>
      <c r="G38" s="58"/>
      <c r="H38" s="58"/>
      <c r="I38" s="58"/>
      <c r="J38" s="58"/>
    </row>
  </sheetData>
  <sheetProtection sheet="1" formatColumns="0"/>
  <mergeCells count="8">
    <mergeCell ref="B38:J38"/>
    <mergeCell ref="C8:J8"/>
    <mergeCell ref="C9:J9"/>
    <mergeCell ref="C12:J12"/>
    <mergeCell ref="B37:J37"/>
    <mergeCell ref="B36:J36"/>
    <mergeCell ref="C10:J10"/>
    <mergeCell ref="B5:C6"/>
  </mergeCells>
  <conditionalFormatting sqref="J17:J34">
    <cfRule type="cellIs" dxfId="62" priority="1" operator="equal">
      <formula>"Complet"</formula>
    </cfRule>
    <cfRule type="cellIs" dxfId="61" priority="2" operator="equal">
      <formula>"En cours"</formula>
    </cfRule>
    <cfRule type="cellIs" dxfId="60" priority="3" operator="equal">
      <formula>"À démarrer"</formula>
    </cfRule>
  </conditionalFormatting>
  <hyperlinks>
    <hyperlink ref="C18" location="#'01 Équipes'!A1" display="Équipes" xr:uid="{00000000-0004-0000-0000-000000000000}"/>
    <hyperlink ref="C19" location="#'02 Rôles'!A1" display="Rôles projet" xr:uid="{00000000-0004-0000-0000-000001000000}"/>
    <hyperlink ref="C20" location="#'03 Personnes'!A1" display="Personnes" xr:uid="{00000000-0004-0000-0000-000002000000}"/>
    <hyperlink ref="C21" location="#'04 Affectations'!A1" display="Affectations" xr:uid="{00000000-0004-0000-0000-000003000000}"/>
    <hyperlink ref="C23" location="#'05 Projet'!A1" display="Projet" xr:uid="{00000000-0004-0000-0000-000004000000}"/>
    <hyperlink ref="C24" location="'06 Info projet'!A1" display="Info projet" xr:uid="{00000000-0004-0000-0000-000005000000}"/>
    <hyperlink ref="C25" location="#'07 Lots'!A1" display="Lots" xr:uid="{00000000-0004-0000-0000-000006000000}"/>
    <hyperlink ref="C26" location="#'08 Phases'!A1" display="Phases" xr:uid="{00000000-0004-0000-0000-000007000000}"/>
    <hyperlink ref="C27" location="#'09 Sous-phases'!A1" display="Sous-phases" xr:uid="{00000000-0004-0000-0000-000008000000}"/>
    <hyperlink ref="C28" location="#'10 Chantiers'!A1" display="Chantiers" xr:uid="{00000000-0004-0000-0000-000009000000}"/>
    <hyperlink ref="C30" location="#'11 Instances'!A1" display="Instances de pilotage" xr:uid="{00000000-0004-0000-0000-00000A000000}"/>
    <hyperlink ref="C31" location="#'12 Membres'!A1" display="Membres des instances" xr:uid="{00000000-0004-0000-0000-00000B000000}"/>
    <hyperlink ref="C33" location="#'13 Jalons'!A1" display="Jalons" xr:uid="{00000000-0004-0000-0000-00000C000000}"/>
    <hyperlink ref="C34" location="#'14 Livrables'!A1" display="Livrables" xr:uid="{00000000-0004-0000-0000-00000D000000}"/>
  </hyperlinks>
  <pageMargins left="0.4" right="0.4" top="0.5" bottom="0.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233A"/>
    <pageSetUpPr fitToPage="1"/>
  </sheetPr>
  <dimension ref="B1:E31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3" customWidth="1"/>
    <col min="2" max="2" width="24" customWidth="1"/>
    <col min="3" max="3" width="62" customWidth="1"/>
    <col min="4" max="4" width="52" customWidth="1"/>
    <col min="5" max="5" width="18" customWidth="1"/>
  </cols>
  <sheetData>
    <row r="1" spans="2:5" ht="12" customHeight="1" x14ac:dyDescent="0.25"/>
    <row r="2" spans="2:5" ht="33.950000000000003" customHeight="1" x14ac:dyDescent="0.45">
      <c r="B2" s="1" t="s">
        <v>76</v>
      </c>
    </row>
    <row r="3" spans="2:5" ht="18" customHeight="1" x14ac:dyDescent="0.25">
      <c r="B3" s="2" t="s">
        <v>77</v>
      </c>
    </row>
    <row r="4" spans="2:5" ht="9.9499999999999993" customHeight="1" x14ac:dyDescent="0.25"/>
    <row r="6" spans="2:5" ht="24" customHeight="1" x14ac:dyDescent="0.25">
      <c r="B6" s="26" t="s">
        <v>78</v>
      </c>
      <c r="C6" s="26" t="s">
        <v>79</v>
      </c>
      <c r="D6" s="26" t="s">
        <v>80</v>
      </c>
      <c r="E6" s="26" t="s">
        <v>12</v>
      </c>
    </row>
    <row r="7" spans="2:5" ht="30" customHeight="1" x14ac:dyDescent="0.25">
      <c r="B7" s="27" t="s">
        <v>81</v>
      </c>
    </row>
    <row r="8" spans="2:5" ht="53.1" customHeight="1" x14ac:dyDescent="0.25">
      <c r="B8" s="28" t="s">
        <v>82</v>
      </c>
      <c r="C8" s="29" t="s">
        <v>83</v>
      </c>
      <c r="D8" s="30" t="s">
        <v>84</v>
      </c>
      <c r="E8" s="31" t="s">
        <v>85</v>
      </c>
    </row>
    <row r="9" spans="2:5" ht="38.1" customHeight="1" x14ac:dyDescent="0.25">
      <c r="B9" s="28" t="s">
        <v>86</v>
      </c>
      <c r="C9" s="29" t="s">
        <v>87</v>
      </c>
      <c r="D9" s="30" t="s">
        <v>88</v>
      </c>
      <c r="E9" s="31" t="s">
        <v>89</v>
      </c>
    </row>
    <row r="10" spans="2:5" ht="23.1" customHeight="1" x14ac:dyDescent="0.25">
      <c r="B10" s="28" t="s">
        <v>90</v>
      </c>
      <c r="C10" s="29" t="s">
        <v>91</v>
      </c>
      <c r="D10" s="30" t="s">
        <v>92</v>
      </c>
      <c r="E10" s="31" t="s">
        <v>93</v>
      </c>
    </row>
    <row r="11" spans="2:5" ht="38.1" customHeight="1" x14ac:dyDescent="0.25">
      <c r="B11" s="28" t="s">
        <v>94</v>
      </c>
      <c r="C11" s="29" t="s">
        <v>95</v>
      </c>
      <c r="D11" s="30" t="s">
        <v>96</v>
      </c>
      <c r="E11" s="31" t="s">
        <v>97</v>
      </c>
    </row>
    <row r="12" spans="2:5" ht="30" customHeight="1" x14ac:dyDescent="0.25">
      <c r="B12" s="32" t="s">
        <v>98</v>
      </c>
    </row>
    <row r="13" spans="2:5" ht="38.1" customHeight="1" x14ac:dyDescent="0.25">
      <c r="B13" s="28" t="s">
        <v>99</v>
      </c>
      <c r="C13" s="29" t="s">
        <v>100</v>
      </c>
      <c r="D13" s="30" t="s">
        <v>101</v>
      </c>
      <c r="E13" s="31" t="s">
        <v>102</v>
      </c>
    </row>
    <row r="14" spans="2:5" ht="38.1" customHeight="1" x14ac:dyDescent="0.25">
      <c r="B14" s="28" t="s">
        <v>103</v>
      </c>
      <c r="C14" s="29" t="s">
        <v>104</v>
      </c>
      <c r="D14" s="30" t="s">
        <v>105</v>
      </c>
      <c r="E14" s="31" t="s">
        <v>106</v>
      </c>
    </row>
    <row r="15" spans="2:5" ht="23.1" customHeight="1" x14ac:dyDescent="0.25">
      <c r="B15" s="28" t="s">
        <v>107</v>
      </c>
      <c r="C15" s="29" t="s">
        <v>108</v>
      </c>
      <c r="D15" s="30" t="s">
        <v>109</v>
      </c>
      <c r="E15" s="31" t="s">
        <v>110</v>
      </c>
    </row>
    <row r="16" spans="2:5" ht="23.1" customHeight="1" x14ac:dyDescent="0.25">
      <c r="B16" s="28" t="s">
        <v>111</v>
      </c>
      <c r="C16" s="29" t="s">
        <v>112</v>
      </c>
      <c r="D16" s="30" t="s">
        <v>113</v>
      </c>
      <c r="E16" s="31" t="s">
        <v>114</v>
      </c>
    </row>
    <row r="17" spans="2:5" ht="23.1" customHeight="1" x14ac:dyDescent="0.25">
      <c r="B17" s="28" t="s">
        <v>115</v>
      </c>
      <c r="C17" s="29" t="s">
        <v>116</v>
      </c>
      <c r="D17" s="30" t="s">
        <v>117</v>
      </c>
      <c r="E17" s="31" t="s">
        <v>118</v>
      </c>
    </row>
    <row r="18" spans="2:5" ht="30" customHeight="1" x14ac:dyDescent="0.25">
      <c r="B18" s="33" t="s">
        <v>119</v>
      </c>
    </row>
    <row r="19" spans="2:5" ht="23.1" customHeight="1" x14ac:dyDescent="0.25">
      <c r="B19" s="28" t="s">
        <v>120</v>
      </c>
      <c r="C19" s="29" t="s">
        <v>121</v>
      </c>
      <c r="D19" s="30" t="s">
        <v>122</v>
      </c>
      <c r="E19" s="31" t="s">
        <v>123</v>
      </c>
    </row>
    <row r="20" spans="2:5" ht="38.1" customHeight="1" x14ac:dyDescent="0.25">
      <c r="B20" s="28" t="s">
        <v>124</v>
      </c>
      <c r="C20" s="29" t="s">
        <v>125</v>
      </c>
      <c r="D20" s="30" t="s">
        <v>126</v>
      </c>
      <c r="E20" s="31" t="s">
        <v>123</v>
      </c>
    </row>
    <row r="21" spans="2:5" ht="38.1" customHeight="1" x14ac:dyDescent="0.25">
      <c r="B21" s="28" t="s">
        <v>127</v>
      </c>
      <c r="C21" s="29" t="s">
        <v>128</v>
      </c>
      <c r="D21" s="30" t="s">
        <v>129</v>
      </c>
      <c r="E21" s="31" t="s">
        <v>130</v>
      </c>
    </row>
    <row r="22" spans="2:5" ht="30" customHeight="1" x14ac:dyDescent="0.25">
      <c r="B22" s="34" t="s">
        <v>131</v>
      </c>
    </row>
    <row r="23" spans="2:5" ht="38.1" customHeight="1" x14ac:dyDescent="0.25">
      <c r="B23" s="28" t="s">
        <v>132</v>
      </c>
      <c r="C23" s="29" t="s">
        <v>133</v>
      </c>
      <c r="D23" s="30" t="s">
        <v>134</v>
      </c>
      <c r="E23" s="31" t="s">
        <v>135</v>
      </c>
    </row>
    <row r="24" spans="2:5" ht="23.1" customHeight="1" x14ac:dyDescent="0.25">
      <c r="B24" s="28" t="s">
        <v>136</v>
      </c>
      <c r="C24" s="29" t="s">
        <v>137</v>
      </c>
      <c r="D24" s="30" t="s">
        <v>138</v>
      </c>
      <c r="E24" s="31" t="s">
        <v>135</v>
      </c>
    </row>
    <row r="25" spans="2:5" ht="38.1" customHeight="1" x14ac:dyDescent="0.25">
      <c r="B25" s="28" t="s">
        <v>139</v>
      </c>
      <c r="C25" s="29" t="s">
        <v>140</v>
      </c>
      <c r="D25" s="30" t="s">
        <v>141</v>
      </c>
      <c r="E25" s="31" t="s">
        <v>135</v>
      </c>
    </row>
    <row r="26" spans="2:5" ht="38.1" customHeight="1" x14ac:dyDescent="0.25">
      <c r="B26" s="28" t="s">
        <v>142</v>
      </c>
      <c r="C26" s="29" t="s">
        <v>143</v>
      </c>
      <c r="D26" s="30" t="s">
        <v>144</v>
      </c>
      <c r="E26" s="31" t="s">
        <v>145</v>
      </c>
    </row>
    <row r="27" spans="2:5" ht="30" customHeight="1" x14ac:dyDescent="0.25">
      <c r="B27" s="32" t="s">
        <v>146</v>
      </c>
    </row>
    <row r="28" spans="2:5" ht="38.1" customHeight="1" x14ac:dyDescent="0.25">
      <c r="B28" s="28" t="s">
        <v>147</v>
      </c>
      <c r="C28" s="29" t="s">
        <v>148</v>
      </c>
      <c r="D28" s="30" t="s">
        <v>149</v>
      </c>
      <c r="E28" s="31" t="s">
        <v>110</v>
      </c>
    </row>
    <row r="29" spans="2:5" ht="38.1" customHeight="1" x14ac:dyDescent="0.25">
      <c r="B29" s="28" t="s">
        <v>150</v>
      </c>
      <c r="C29" s="29" t="s">
        <v>151</v>
      </c>
      <c r="D29" s="30" t="s">
        <v>152</v>
      </c>
      <c r="E29" s="31" t="s">
        <v>135</v>
      </c>
    </row>
    <row r="30" spans="2:5" ht="38.1" customHeight="1" x14ac:dyDescent="0.25">
      <c r="B30" s="28" t="s">
        <v>153</v>
      </c>
      <c r="C30" s="29" t="s">
        <v>154</v>
      </c>
      <c r="D30" s="30" t="s">
        <v>155</v>
      </c>
      <c r="E30" s="31" t="s">
        <v>135</v>
      </c>
    </row>
    <row r="31" spans="2:5" ht="53.1" customHeight="1" x14ac:dyDescent="0.25">
      <c r="B31" s="28" t="s">
        <v>102</v>
      </c>
      <c r="C31" s="29" t="s">
        <v>156</v>
      </c>
      <c r="D31" s="30" t="s">
        <v>157</v>
      </c>
      <c r="E31" s="31" t="s">
        <v>102</v>
      </c>
    </row>
  </sheetData>
  <hyperlinks>
    <hyperlink ref="E8" location="#'01 Équipes'!A1" display="01 Équipes" xr:uid="{00000000-0004-0000-0100-000000000000}"/>
    <hyperlink ref="E9" location="#'02 Rôles'!A1" display="02 Rôles" xr:uid="{00000000-0004-0000-0100-000001000000}"/>
    <hyperlink ref="E10" location="#'03 Personnes'!A1" display="03 Personnes" xr:uid="{00000000-0004-0000-0100-000002000000}"/>
    <hyperlink ref="E11" location="#'04 Affectations'!A1" display="04 Affectations" xr:uid="{00000000-0004-0000-0100-000003000000}"/>
    <hyperlink ref="E13" location="#'Complétude'!A1" display="Complétude" xr:uid="{00000000-0004-0000-0100-000004000000}"/>
    <hyperlink ref="E14" location="#'07 Lots'!A1" display="07 Lots" xr:uid="{00000000-0004-0000-0100-000005000000}"/>
    <hyperlink ref="E15" location="#'08 Phases'!A1" display="08 Phases" xr:uid="{00000000-0004-0000-0100-000006000000}"/>
    <hyperlink ref="E16" location="#'09 Sous-phases'!A1" display="09 Sous-phases" xr:uid="{00000000-0004-0000-0100-000007000000}"/>
    <hyperlink ref="E17" location="#'10 Chantiers'!A1" display="10 Chantiers" xr:uid="{00000000-0004-0000-0100-000008000000}"/>
    <hyperlink ref="E19" location="#'11 Instances'!A1" display="11 Instances" xr:uid="{00000000-0004-0000-0100-000009000000}"/>
    <hyperlink ref="E20" location="#'11 Instances'!A1" display="11 Instances" xr:uid="{00000000-0004-0000-0100-00000A000000}"/>
    <hyperlink ref="E21" location="#'12 Membres'!A1" display="12 Membres" xr:uid="{00000000-0004-0000-0100-00000B000000}"/>
    <hyperlink ref="E23" location="#'13 Jalons'!A1" display="13 Jalons" xr:uid="{00000000-0004-0000-0100-00000C000000}"/>
    <hyperlink ref="E24" location="#'13 Jalons'!A1" display="13 Jalons" xr:uid="{00000000-0004-0000-0100-00000D000000}"/>
    <hyperlink ref="E25" location="#'13 Jalons'!A1" display="13 Jalons" xr:uid="{00000000-0004-0000-0100-00000E000000}"/>
    <hyperlink ref="E26" location="#'14 Livrables'!A1" display="14 Livrables" xr:uid="{00000000-0004-0000-0100-00000F000000}"/>
    <hyperlink ref="E28" location="#'08 Phases'!A1" display="08 Phases" xr:uid="{00000000-0004-0000-0100-000010000000}"/>
    <hyperlink ref="E29" location="#'13 Jalons'!A1" display="13 Jalons" xr:uid="{00000000-0004-0000-0100-000011000000}"/>
    <hyperlink ref="E30" location="#'13 Jalons'!A1" display="13 Jalons" xr:uid="{00000000-0004-0000-0100-000012000000}"/>
    <hyperlink ref="E31" location="#'Complétude'!A1" display="Complétude" xr:uid="{00000000-0004-0000-0100-000013000000}"/>
  </hyperlinks>
  <pageMargins left="0.4" right="0.4" top="0.5" bottom="0.5" header="0.2" footer="0.2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2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30" customWidth="1"/>
    <col min="3" max="3" width="26" customWidth="1"/>
    <col min="4" max="4" width="34" customWidth="1"/>
    <col min="5" max="5" width="44" customWidth="1"/>
    <col min="6" max="6" width="3" customWidth="1"/>
    <col min="7" max="7" width="30" customWidth="1"/>
    <col min="8" max="8" width="26" customWidth="1"/>
  </cols>
  <sheetData>
    <row r="2" spans="2:5" ht="28.5" x14ac:dyDescent="0.45">
      <c r="B2" s="1" t="s">
        <v>158</v>
      </c>
    </row>
    <row r="3" spans="2:5" x14ac:dyDescent="0.25">
      <c r="B3" s="2" t="s">
        <v>159</v>
      </c>
    </row>
    <row r="5" spans="2:5" x14ac:dyDescent="0.25">
      <c r="B5" t="s">
        <v>160</v>
      </c>
    </row>
    <row r="6" spans="2:5" x14ac:dyDescent="0.25">
      <c r="B6" s="2" t="s">
        <v>161</v>
      </c>
    </row>
    <row r="7" spans="2:5" x14ac:dyDescent="0.25">
      <c r="B7" s="2" t="s">
        <v>162</v>
      </c>
    </row>
    <row r="9" spans="2:5" x14ac:dyDescent="0.25">
      <c r="B9" t="s">
        <v>163</v>
      </c>
    </row>
    <row r="10" spans="2:5" x14ac:dyDescent="0.25">
      <c r="B10" s="41" t="s">
        <v>164</v>
      </c>
      <c r="C10" s="41" t="s">
        <v>165</v>
      </c>
      <c r="D10" s="41" t="s">
        <v>166</v>
      </c>
      <c r="E10" s="41" t="s">
        <v>80</v>
      </c>
    </row>
    <row r="11" spans="2:5" ht="30" customHeight="1" x14ac:dyDescent="0.25">
      <c r="B11" s="57" t="s">
        <v>167</v>
      </c>
      <c r="C11" s="57" t="s">
        <v>168</v>
      </c>
      <c r="D11" s="57" t="s">
        <v>169</v>
      </c>
      <c r="E11" s="57" t="s">
        <v>170</v>
      </c>
    </row>
    <row r="12" spans="2:5" ht="30" customHeight="1" x14ac:dyDescent="0.25">
      <c r="B12" s="57" t="s">
        <v>171</v>
      </c>
      <c r="C12" s="57" t="s">
        <v>172</v>
      </c>
      <c r="D12" s="57" t="s">
        <v>173</v>
      </c>
      <c r="E12" s="57" t="s">
        <v>174</v>
      </c>
    </row>
    <row r="13" spans="2:5" ht="30" customHeight="1" x14ac:dyDescent="0.25">
      <c r="B13" s="57" t="s">
        <v>175</v>
      </c>
      <c r="C13" s="57" t="s">
        <v>176</v>
      </c>
      <c r="D13" s="57" t="s">
        <v>177</v>
      </c>
      <c r="E13" s="57" t="s">
        <v>178</v>
      </c>
    </row>
    <row r="14" spans="2:5" ht="30" customHeight="1" x14ac:dyDescent="0.25">
      <c r="B14" s="57" t="s">
        <v>179</v>
      </c>
      <c r="C14" s="57" t="s">
        <v>172</v>
      </c>
      <c r="D14" s="57" t="s">
        <v>180</v>
      </c>
      <c r="E14" s="57" t="s">
        <v>181</v>
      </c>
    </row>
    <row r="15" spans="2:5" ht="30" customHeight="1" x14ac:dyDescent="0.25">
      <c r="B15" s="57" t="s">
        <v>182</v>
      </c>
      <c r="C15" s="57" t="s">
        <v>168</v>
      </c>
      <c r="D15" s="57" t="s">
        <v>173</v>
      </c>
      <c r="E15" s="57" t="s">
        <v>183</v>
      </c>
    </row>
    <row r="16" spans="2:5" ht="30" customHeight="1" x14ac:dyDescent="0.25">
      <c r="B16" s="57" t="s">
        <v>184</v>
      </c>
      <c r="C16" s="57" t="s">
        <v>168</v>
      </c>
      <c r="D16" s="57" t="s">
        <v>173</v>
      </c>
      <c r="E16" s="57" t="s">
        <v>185</v>
      </c>
    </row>
    <row r="17" spans="2:5" ht="30" customHeight="1" x14ac:dyDescent="0.25">
      <c r="B17" s="57" t="s">
        <v>186</v>
      </c>
      <c r="C17" s="57" t="s">
        <v>172</v>
      </c>
      <c r="D17" s="57" t="s">
        <v>173</v>
      </c>
      <c r="E17" s="57" t="s">
        <v>187</v>
      </c>
    </row>
    <row r="18" spans="2:5" ht="30" customHeight="1" x14ac:dyDescent="0.25">
      <c r="B18" s="57" t="s">
        <v>188</v>
      </c>
      <c r="C18" s="57" t="s">
        <v>172</v>
      </c>
      <c r="D18" s="57" t="s">
        <v>173</v>
      </c>
      <c r="E18" s="57" t="s">
        <v>189</v>
      </c>
    </row>
    <row r="21" spans="2:5" x14ac:dyDescent="0.25">
      <c r="B21" t="s">
        <v>190</v>
      </c>
    </row>
    <row r="22" spans="2:5" x14ac:dyDescent="0.25">
      <c r="B22" s="41" t="s">
        <v>191</v>
      </c>
      <c r="C22" s="41" t="s">
        <v>192</v>
      </c>
      <c r="D22" s="41" t="s">
        <v>193</v>
      </c>
    </row>
    <row r="23" spans="2:5" x14ac:dyDescent="0.25">
      <c r="B23" s="44" t="str">
        <f>IF('08 Phases'!$B$9="","",'08 Phases'!$B$9)</f>
        <v/>
      </c>
      <c r="C23" s="44" t="str">
        <f>IF('09 Sous-phases'!$B$9="","",'09 Sous-phases'!$B$9)</f>
        <v/>
      </c>
      <c r="D23" s="44" t="str">
        <f>IF('10 Chantiers'!$C$9="","",'10 Chantiers'!$B$9&amp;" · "&amp;'10 Chantiers'!$C$9)</f>
        <v/>
      </c>
    </row>
    <row r="24" spans="2:5" x14ac:dyDescent="0.25">
      <c r="B24" s="44" t="str">
        <f>IF('08 Phases'!$B$10="","",'08 Phases'!$B$10)</f>
        <v/>
      </c>
      <c r="C24" s="44" t="str">
        <f>IF('09 Sous-phases'!$B$10="","",'09 Sous-phases'!$B$10)</f>
        <v/>
      </c>
      <c r="D24" s="44" t="str">
        <f>IF('10 Chantiers'!$C$10="","",'10 Chantiers'!$B$10&amp;" · "&amp;'10 Chantiers'!$C$10)</f>
        <v/>
      </c>
    </row>
    <row r="25" spans="2:5" x14ac:dyDescent="0.25">
      <c r="B25" s="44" t="str">
        <f>IF('08 Phases'!$B$11="","",'08 Phases'!$B$11)</f>
        <v/>
      </c>
      <c r="C25" s="44" t="str">
        <f>IF('09 Sous-phases'!$B$11="","",'09 Sous-phases'!$B$11)</f>
        <v/>
      </c>
      <c r="D25" s="44" t="str">
        <f>IF('10 Chantiers'!$C$11="","",'10 Chantiers'!$B$11&amp;" · "&amp;'10 Chantiers'!$C$11)</f>
        <v/>
      </c>
    </row>
    <row r="26" spans="2:5" x14ac:dyDescent="0.25">
      <c r="B26" s="44" t="str">
        <f>IF('08 Phases'!$B$12="","",'08 Phases'!$B$12)</f>
        <v/>
      </c>
      <c r="C26" s="44" t="str">
        <f>IF('09 Sous-phases'!$B$12="","",'09 Sous-phases'!$B$12)</f>
        <v/>
      </c>
      <c r="D26" s="44" t="str">
        <f>IF('10 Chantiers'!$C$12="","",'10 Chantiers'!$B$12&amp;" · "&amp;'10 Chantiers'!$C$12)</f>
        <v/>
      </c>
    </row>
    <row r="27" spans="2:5" x14ac:dyDescent="0.25">
      <c r="B27" s="44" t="str">
        <f>IF('08 Phases'!$B$13="","",'08 Phases'!$B$13)</f>
        <v/>
      </c>
      <c r="C27" s="44" t="str">
        <f>IF('09 Sous-phases'!$B$13="","",'09 Sous-phases'!$B$13)</f>
        <v/>
      </c>
      <c r="D27" s="44" t="str">
        <f>IF('10 Chantiers'!$C$13="","",'10 Chantiers'!$B$13&amp;" · "&amp;'10 Chantiers'!$C$13)</f>
        <v/>
      </c>
    </row>
    <row r="28" spans="2:5" x14ac:dyDescent="0.25">
      <c r="B28" s="44" t="str">
        <f>IF('08 Phases'!$B$14="","",'08 Phases'!$B$14)</f>
        <v/>
      </c>
      <c r="C28" s="44" t="str">
        <f>IF('09 Sous-phases'!$B$14="","",'09 Sous-phases'!$B$14)</f>
        <v/>
      </c>
      <c r="D28" s="44" t="str">
        <f>IF('10 Chantiers'!$C$14="","",'10 Chantiers'!$B$14&amp;" · "&amp;'10 Chantiers'!$C$14)</f>
        <v/>
      </c>
    </row>
    <row r="29" spans="2:5" x14ac:dyDescent="0.25">
      <c r="B29" s="44" t="str">
        <f>IF('08 Phases'!$B$15="","",'08 Phases'!$B$15)</f>
        <v/>
      </c>
      <c r="C29" s="44" t="str">
        <f>IF('09 Sous-phases'!$B$15="","",'09 Sous-phases'!$B$15)</f>
        <v/>
      </c>
      <c r="D29" s="44" t="str">
        <f>IF('10 Chantiers'!$C$15="","",'10 Chantiers'!$B$15&amp;" · "&amp;'10 Chantiers'!$C$15)</f>
        <v/>
      </c>
    </row>
    <row r="30" spans="2:5" x14ac:dyDescent="0.25">
      <c r="B30" s="44" t="str">
        <f>IF('08 Phases'!$B$16="","",'08 Phases'!$B$16)</f>
        <v/>
      </c>
      <c r="C30" s="44" t="str">
        <f>IF('09 Sous-phases'!$B$16="","",'09 Sous-phases'!$B$16)</f>
        <v/>
      </c>
      <c r="D30" s="44" t="str">
        <f>IF('10 Chantiers'!$C$16="","",'10 Chantiers'!$B$16&amp;" · "&amp;'10 Chantiers'!$C$16)</f>
        <v/>
      </c>
    </row>
    <row r="31" spans="2:5" x14ac:dyDescent="0.25">
      <c r="B31" s="44" t="str">
        <f>IF('08 Phases'!$B$17="","",'08 Phases'!$B$17)</f>
        <v/>
      </c>
      <c r="C31" s="44" t="str">
        <f>IF('09 Sous-phases'!$B$17="","",'09 Sous-phases'!$B$17)</f>
        <v/>
      </c>
      <c r="D31" s="44" t="str">
        <f>IF('10 Chantiers'!$C$17="","",'10 Chantiers'!$B$17&amp;" · "&amp;'10 Chantiers'!$C$17)</f>
        <v/>
      </c>
    </row>
    <row r="32" spans="2:5" x14ac:dyDescent="0.25">
      <c r="B32" s="44" t="str">
        <f>IF('08 Phases'!$B$18="","",'08 Phases'!$B$18)</f>
        <v/>
      </c>
      <c r="C32" s="44" t="str">
        <f>IF('09 Sous-phases'!$B$18="","",'09 Sous-phases'!$B$18)</f>
        <v/>
      </c>
      <c r="D32" s="44" t="str">
        <f>IF('10 Chantiers'!$C$18="","",'10 Chantiers'!$B$18&amp;" · "&amp;'10 Chantiers'!$C$18)</f>
        <v/>
      </c>
    </row>
    <row r="33" spans="2:4" x14ac:dyDescent="0.25">
      <c r="B33" s="44" t="str">
        <f>IF('08 Phases'!$B$19="","",'08 Phases'!$B$19)</f>
        <v/>
      </c>
      <c r="C33" s="44" t="str">
        <f>IF('09 Sous-phases'!$B$19="","",'09 Sous-phases'!$B$19)</f>
        <v/>
      </c>
      <c r="D33" s="44" t="str">
        <f>IF('10 Chantiers'!$C$19="","",'10 Chantiers'!$B$19&amp;" · "&amp;'10 Chantiers'!$C$19)</f>
        <v/>
      </c>
    </row>
    <row r="34" spans="2:4" x14ac:dyDescent="0.25">
      <c r="B34" s="44" t="str">
        <f>IF('08 Phases'!$B$20="","",'08 Phases'!$B$20)</f>
        <v/>
      </c>
      <c r="C34" s="44" t="str">
        <f>IF('09 Sous-phases'!$B$20="","",'09 Sous-phases'!$B$20)</f>
        <v/>
      </c>
      <c r="D34" s="44" t="str">
        <f>IF('10 Chantiers'!$C$20="","",'10 Chantiers'!$B$20&amp;" · "&amp;'10 Chantiers'!$C$20)</f>
        <v/>
      </c>
    </row>
    <row r="35" spans="2:4" x14ac:dyDescent="0.25">
      <c r="B35" s="44" t="str">
        <f>IF('08 Phases'!$B$21="","",'08 Phases'!$B$21)</f>
        <v/>
      </c>
      <c r="C35" s="44" t="str">
        <f>IF('09 Sous-phases'!$B$21="","",'09 Sous-phases'!$B$21)</f>
        <v/>
      </c>
      <c r="D35" s="44" t="str">
        <f>IF('10 Chantiers'!$C$21="","",'10 Chantiers'!$B$21&amp;" · "&amp;'10 Chantiers'!$C$21)</f>
        <v/>
      </c>
    </row>
    <row r="36" spans="2:4" x14ac:dyDescent="0.25">
      <c r="B36" s="44" t="str">
        <f>IF('08 Phases'!$B$22="","",'08 Phases'!$B$22)</f>
        <v/>
      </c>
      <c r="C36" s="44" t="str">
        <f>IF('09 Sous-phases'!$B$22="","",'09 Sous-phases'!$B$22)</f>
        <v/>
      </c>
      <c r="D36" s="44" t="str">
        <f>IF('10 Chantiers'!$C$22="","",'10 Chantiers'!$B$22&amp;" · "&amp;'10 Chantiers'!$C$22)</f>
        <v/>
      </c>
    </row>
    <row r="37" spans="2:4" x14ac:dyDescent="0.25">
      <c r="B37" s="44" t="str">
        <f>IF('08 Phases'!$B$23="","",'08 Phases'!$B$23)</f>
        <v/>
      </c>
      <c r="C37" s="44" t="str">
        <f>IF('09 Sous-phases'!$B$23="","",'09 Sous-phases'!$B$23)</f>
        <v/>
      </c>
      <c r="D37" s="44" t="str">
        <f>IF('10 Chantiers'!$C$23="","",'10 Chantiers'!$B$23&amp;" · "&amp;'10 Chantiers'!$C$23)</f>
        <v/>
      </c>
    </row>
    <row r="38" spans="2:4" x14ac:dyDescent="0.25">
      <c r="B38" s="44" t="str">
        <f>IF('08 Phases'!$B$24="","",'08 Phases'!$B$24)</f>
        <v/>
      </c>
      <c r="C38" s="44" t="str">
        <f>IF('09 Sous-phases'!$B$24="","",'09 Sous-phases'!$B$24)</f>
        <v/>
      </c>
      <c r="D38" s="44" t="str">
        <f>IF('10 Chantiers'!$C$24="","",'10 Chantiers'!$B$24&amp;" · "&amp;'10 Chantiers'!$C$24)</f>
        <v/>
      </c>
    </row>
    <row r="39" spans="2:4" x14ac:dyDescent="0.25">
      <c r="B39" s="44" t="str">
        <f>IF('08 Phases'!$B$25="","",'08 Phases'!$B$25)</f>
        <v/>
      </c>
      <c r="C39" s="44" t="str">
        <f>IF('09 Sous-phases'!$B$25="","",'09 Sous-phases'!$B$25)</f>
        <v/>
      </c>
      <c r="D39" s="44" t="str">
        <f>IF('10 Chantiers'!$C$25="","",'10 Chantiers'!$B$25&amp;" · "&amp;'10 Chantiers'!$C$25)</f>
        <v/>
      </c>
    </row>
    <row r="40" spans="2:4" x14ac:dyDescent="0.25">
      <c r="B40" s="44" t="str">
        <f>IF('08 Phases'!$B$26="","",'08 Phases'!$B$26)</f>
        <v/>
      </c>
      <c r="C40" s="44" t="str">
        <f>IF('09 Sous-phases'!$B$26="","",'09 Sous-phases'!$B$26)</f>
        <v/>
      </c>
      <c r="D40" s="44" t="str">
        <f>IF('10 Chantiers'!$C$26="","",'10 Chantiers'!$B$26&amp;" · "&amp;'10 Chantiers'!$C$26)</f>
        <v/>
      </c>
    </row>
    <row r="41" spans="2:4" x14ac:dyDescent="0.25">
      <c r="B41" s="44" t="str">
        <f>IF('08 Phases'!$B$27="","",'08 Phases'!$B$27)</f>
        <v/>
      </c>
      <c r="C41" s="44" t="str">
        <f>IF('09 Sous-phases'!$B$27="","",'09 Sous-phases'!$B$27)</f>
        <v/>
      </c>
      <c r="D41" s="44" t="str">
        <f>IF('10 Chantiers'!$C$27="","",'10 Chantiers'!$B$27&amp;" · "&amp;'10 Chantiers'!$C$27)</f>
        <v/>
      </c>
    </row>
    <row r="42" spans="2:4" x14ac:dyDescent="0.25">
      <c r="B42" s="44" t="str">
        <f>IF('08 Phases'!$B$28="","",'08 Phases'!$B$28)</f>
        <v/>
      </c>
      <c r="C42" s="44" t="str">
        <f>IF('09 Sous-phases'!$B$28="","",'09 Sous-phases'!$B$28)</f>
        <v/>
      </c>
      <c r="D42" s="44" t="str">
        <f>IF('10 Chantiers'!$C$28="","",'10 Chantiers'!$B$28&amp;" · "&amp;'10 Chantiers'!$C$28)</f>
        <v/>
      </c>
    </row>
    <row r="43" spans="2:4" x14ac:dyDescent="0.25">
      <c r="B43" s="44" t="str">
        <f>IF('08 Phases'!$B$29="","",'08 Phases'!$B$29)</f>
        <v/>
      </c>
      <c r="C43" s="44" t="str">
        <f>IF('09 Sous-phases'!$B$29="","",'09 Sous-phases'!$B$29)</f>
        <v/>
      </c>
      <c r="D43" s="44" t="str">
        <f>IF('10 Chantiers'!$C$29="","",'10 Chantiers'!$B$29&amp;" · "&amp;'10 Chantiers'!$C$29)</f>
        <v/>
      </c>
    </row>
    <row r="44" spans="2:4" x14ac:dyDescent="0.25">
      <c r="B44" s="44" t="str">
        <f>IF('08 Phases'!$B$30="","",'08 Phases'!$B$30)</f>
        <v/>
      </c>
      <c r="C44" s="44" t="str">
        <f>IF('09 Sous-phases'!$B$30="","",'09 Sous-phases'!$B$30)</f>
        <v/>
      </c>
      <c r="D44" s="44" t="str">
        <f>IF('10 Chantiers'!$C$30="","",'10 Chantiers'!$B$30&amp;" · "&amp;'10 Chantiers'!$C$30)</f>
        <v/>
      </c>
    </row>
    <row r="45" spans="2:4" x14ac:dyDescent="0.25">
      <c r="B45" s="44" t="str">
        <f>IF('08 Phases'!$B$31="","",'08 Phases'!$B$31)</f>
        <v/>
      </c>
      <c r="C45" s="44" t="str">
        <f>IF('09 Sous-phases'!$B$31="","",'09 Sous-phases'!$B$31)</f>
        <v/>
      </c>
      <c r="D45" s="44" t="str">
        <f>IF('10 Chantiers'!$C$31="","",'10 Chantiers'!$B$31&amp;" · "&amp;'10 Chantiers'!$C$31)</f>
        <v/>
      </c>
    </row>
    <row r="46" spans="2:4" x14ac:dyDescent="0.25">
      <c r="B46" s="44" t="str">
        <f>IF('08 Phases'!$B$32="","",'08 Phases'!$B$32)</f>
        <v/>
      </c>
      <c r="C46" s="44" t="str">
        <f>IF('09 Sous-phases'!$B$32="","",'09 Sous-phases'!$B$32)</f>
        <v/>
      </c>
      <c r="D46" s="44" t="str">
        <f>IF('10 Chantiers'!$C$32="","",'10 Chantiers'!$B$32&amp;" · "&amp;'10 Chantiers'!$C$32)</f>
        <v/>
      </c>
    </row>
    <row r="47" spans="2:4" x14ac:dyDescent="0.25">
      <c r="B47" s="44" t="str">
        <f>IF('08 Phases'!$B$33="","",'08 Phases'!$B$33)</f>
        <v/>
      </c>
      <c r="C47" s="44" t="str">
        <f>IF('09 Sous-phases'!$B$33="","",'09 Sous-phases'!$B$33)</f>
        <v/>
      </c>
      <c r="D47" s="44" t="str">
        <f>IF('10 Chantiers'!$C$33="","",'10 Chantiers'!$B$33&amp;" · "&amp;'10 Chantiers'!$C$33)</f>
        <v/>
      </c>
    </row>
    <row r="48" spans="2:4" x14ac:dyDescent="0.25">
      <c r="B48" s="44" t="str">
        <f>IF('08 Phases'!$B$34="","",'08 Phases'!$B$34)</f>
        <v/>
      </c>
      <c r="C48" s="44" t="str">
        <f>IF('09 Sous-phases'!$B$34="","",'09 Sous-phases'!$B$34)</f>
        <v/>
      </c>
      <c r="D48" s="44" t="str">
        <f>IF('10 Chantiers'!$C$34="","",'10 Chantiers'!$B$34&amp;" · "&amp;'10 Chantiers'!$C$34)</f>
        <v/>
      </c>
    </row>
    <row r="49" spans="2:4" x14ac:dyDescent="0.25">
      <c r="B49" s="44" t="str">
        <f>IF('08 Phases'!$B$35="","",'08 Phases'!$B$35)</f>
        <v/>
      </c>
      <c r="C49" s="44" t="str">
        <f>IF('09 Sous-phases'!$B$35="","",'09 Sous-phases'!$B$35)</f>
        <v/>
      </c>
      <c r="D49" s="44" t="str">
        <f>IF('10 Chantiers'!$C$35="","",'10 Chantiers'!$B$35&amp;" · "&amp;'10 Chantiers'!$C$35)</f>
        <v/>
      </c>
    </row>
    <row r="50" spans="2:4" x14ac:dyDescent="0.25">
      <c r="B50" s="44" t="str">
        <f>IF('08 Phases'!$B$36="","",'08 Phases'!$B$36)</f>
        <v/>
      </c>
      <c r="C50" s="44" t="str">
        <f>IF('09 Sous-phases'!$B$36="","",'09 Sous-phases'!$B$36)</f>
        <v/>
      </c>
      <c r="D50" s="44" t="str">
        <f>IF('10 Chantiers'!$C$36="","",'10 Chantiers'!$B$36&amp;" · "&amp;'10 Chantiers'!$C$36)</f>
        <v/>
      </c>
    </row>
    <row r="51" spans="2:4" x14ac:dyDescent="0.25">
      <c r="B51" s="44" t="str">
        <f>IF('08 Phases'!$B$37="","",'08 Phases'!$B$37)</f>
        <v/>
      </c>
      <c r="C51" s="44" t="str">
        <f>IF('09 Sous-phases'!$B$37="","",'09 Sous-phases'!$B$37)</f>
        <v/>
      </c>
      <c r="D51" s="44" t="str">
        <f>IF('10 Chantiers'!$C$37="","",'10 Chantiers'!$B$37&amp;" · "&amp;'10 Chantiers'!$C$37)</f>
        <v/>
      </c>
    </row>
    <row r="52" spans="2:4" x14ac:dyDescent="0.25">
      <c r="B52" s="44" t="str">
        <f>IF('08 Phases'!$B$38="","",'08 Phases'!$B$38)</f>
        <v/>
      </c>
      <c r="C52" s="44" t="str">
        <f>IF('09 Sous-phases'!$B$38="","",'09 Sous-phases'!$B$38)</f>
        <v/>
      </c>
      <c r="D52" s="44" t="str">
        <f>IF('10 Chantiers'!$C$38="","",'10 Chantiers'!$B$38&amp;" · "&amp;'10 Chantiers'!$C$38)</f>
        <v/>
      </c>
    </row>
    <row r="53" spans="2:4" x14ac:dyDescent="0.25">
      <c r="B53" s="44"/>
      <c r="C53" s="44" t="str">
        <f>IF('09 Sous-phases'!$B$39="","",'09 Sous-phases'!$B$39)</f>
        <v/>
      </c>
      <c r="D53" s="44"/>
    </row>
    <row r="54" spans="2:4" x14ac:dyDescent="0.25">
      <c r="B54" s="44"/>
      <c r="C54" s="44" t="str">
        <f>IF('09 Sous-phases'!$B$40="","",'09 Sous-phases'!$B$40)</f>
        <v/>
      </c>
      <c r="D54" s="44"/>
    </row>
    <row r="55" spans="2:4" x14ac:dyDescent="0.25">
      <c r="B55" s="44"/>
      <c r="C55" s="44" t="str">
        <f>IF('09 Sous-phases'!$B$41="","",'09 Sous-phases'!$B$41)</f>
        <v/>
      </c>
      <c r="D55" s="44"/>
    </row>
    <row r="56" spans="2:4" x14ac:dyDescent="0.25">
      <c r="B56" s="44"/>
      <c r="C56" s="44" t="str">
        <f>IF('09 Sous-phases'!$B$42="","",'09 Sous-phases'!$B$42)</f>
        <v/>
      </c>
      <c r="D56" s="44"/>
    </row>
    <row r="57" spans="2:4" x14ac:dyDescent="0.25">
      <c r="B57" s="44"/>
      <c r="C57" s="44" t="str">
        <f>IF('09 Sous-phases'!$B$43="","",'09 Sous-phases'!$B$43)</f>
        <v/>
      </c>
      <c r="D57" s="44"/>
    </row>
    <row r="58" spans="2:4" x14ac:dyDescent="0.25">
      <c r="B58" s="44"/>
      <c r="C58" s="44" t="str">
        <f>IF('09 Sous-phases'!$B$44="","",'09 Sous-phases'!$B$44)</f>
        <v/>
      </c>
      <c r="D58" s="44"/>
    </row>
    <row r="59" spans="2:4" x14ac:dyDescent="0.25">
      <c r="B59" s="44"/>
      <c r="C59" s="44" t="str">
        <f>IF('09 Sous-phases'!$B$45="","",'09 Sous-phases'!$B$45)</f>
        <v/>
      </c>
      <c r="D59" s="44"/>
    </row>
    <row r="60" spans="2:4" x14ac:dyDescent="0.25">
      <c r="B60" s="44"/>
      <c r="C60" s="44" t="str">
        <f>IF('09 Sous-phases'!$B$46="","",'09 Sous-phases'!$B$46)</f>
        <v/>
      </c>
      <c r="D60" s="44"/>
    </row>
    <row r="61" spans="2:4" x14ac:dyDescent="0.25">
      <c r="B61" s="44"/>
      <c r="C61" s="44" t="str">
        <f>IF('09 Sous-phases'!$B$47="","",'09 Sous-phases'!$B$47)</f>
        <v/>
      </c>
      <c r="D61" s="44"/>
    </row>
    <row r="62" spans="2:4" x14ac:dyDescent="0.25">
      <c r="B62" s="44"/>
      <c r="C62" s="44" t="str">
        <f>IF('09 Sous-phases'!$B$48="","",'09 Sous-phases'!$B$48)</f>
        <v/>
      </c>
      <c r="D62" s="44"/>
    </row>
    <row r="63" spans="2:4" x14ac:dyDescent="0.25">
      <c r="B63" s="44"/>
      <c r="C63" s="44" t="str">
        <f>IF('09 Sous-phases'!$B$49="","",'09 Sous-phases'!$B$49)</f>
        <v/>
      </c>
      <c r="D63" s="44"/>
    </row>
    <row r="64" spans="2:4" x14ac:dyDescent="0.25">
      <c r="B64" s="44"/>
      <c r="C64" s="44" t="str">
        <f>IF('09 Sous-phases'!$B$50="","",'09 Sous-phases'!$B$50)</f>
        <v/>
      </c>
      <c r="D64" s="44"/>
    </row>
    <row r="65" spans="2:4" x14ac:dyDescent="0.25">
      <c r="B65" s="44"/>
      <c r="C65" s="44" t="str">
        <f>IF('09 Sous-phases'!$B$51="","",'09 Sous-phases'!$B$51)</f>
        <v/>
      </c>
      <c r="D65" s="44"/>
    </row>
    <row r="66" spans="2:4" x14ac:dyDescent="0.25">
      <c r="B66" s="44"/>
      <c r="C66" s="44" t="str">
        <f>IF('09 Sous-phases'!$B$52="","",'09 Sous-phases'!$B$52)</f>
        <v/>
      </c>
      <c r="D66" s="44"/>
    </row>
    <row r="67" spans="2:4" x14ac:dyDescent="0.25">
      <c r="B67" s="44"/>
      <c r="C67" s="44" t="str">
        <f>IF('09 Sous-phases'!$B$53="","",'09 Sous-phases'!$B$53)</f>
        <v/>
      </c>
      <c r="D67" s="44"/>
    </row>
    <row r="68" spans="2:4" x14ac:dyDescent="0.25">
      <c r="B68" s="44"/>
      <c r="C68" s="44" t="str">
        <f>IF('09 Sous-phases'!$B$54="","",'09 Sous-phases'!$B$54)</f>
        <v/>
      </c>
      <c r="D68" s="44"/>
    </row>
    <row r="69" spans="2:4" x14ac:dyDescent="0.25">
      <c r="B69" s="44"/>
      <c r="C69" s="44" t="str">
        <f>IF('09 Sous-phases'!$B$55="","",'09 Sous-phases'!$B$55)</f>
        <v/>
      </c>
      <c r="D69" s="44"/>
    </row>
    <row r="70" spans="2:4" x14ac:dyDescent="0.25">
      <c r="B70" s="44"/>
      <c r="C70" s="44" t="str">
        <f>IF('09 Sous-phases'!$B$56="","",'09 Sous-phases'!$B$56)</f>
        <v/>
      </c>
      <c r="D70" s="44"/>
    </row>
    <row r="71" spans="2:4" x14ac:dyDescent="0.25">
      <c r="B71" s="44"/>
      <c r="C71" s="44" t="str">
        <f>IF('09 Sous-phases'!$B$57="","",'09 Sous-phases'!$B$57)</f>
        <v/>
      </c>
      <c r="D71" s="44"/>
    </row>
    <row r="72" spans="2:4" x14ac:dyDescent="0.25">
      <c r="B72" s="44"/>
      <c r="C72" s="44" t="str">
        <f>IF('09 Sous-phases'!$B$58="","",'09 Sous-phases'!$B$58)</f>
        <v/>
      </c>
      <c r="D72" s="44"/>
    </row>
    <row r="73" spans="2:4" x14ac:dyDescent="0.25">
      <c r="B73" s="44"/>
      <c r="C73" s="44" t="str">
        <f>IF('09 Sous-phases'!$B$59="","",'09 Sous-phases'!$B$59)</f>
        <v/>
      </c>
      <c r="D73" s="44"/>
    </row>
    <row r="74" spans="2:4" x14ac:dyDescent="0.25">
      <c r="B74" s="44"/>
      <c r="C74" s="44" t="str">
        <f>IF('09 Sous-phases'!$B$60="","",'09 Sous-phases'!$B$60)</f>
        <v/>
      </c>
      <c r="D74" s="44"/>
    </row>
    <row r="75" spans="2:4" x14ac:dyDescent="0.25">
      <c r="B75" s="44"/>
      <c r="C75" s="44" t="str">
        <f>IF('09 Sous-phases'!$B$61="","",'09 Sous-phases'!$B$61)</f>
        <v/>
      </c>
      <c r="D75" s="44"/>
    </row>
    <row r="76" spans="2:4" x14ac:dyDescent="0.25">
      <c r="B76" s="44"/>
      <c r="C76" s="44" t="str">
        <f>IF('09 Sous-phases'!$B$62="","",'09 Sous-phases'!$B$62)</f>
        <v/>
      </c>
      <c r="D76" s="44"/>
    </row>
    <row r="77" spans="2:4" x14ac:dyDescent="0.25">
      <c r="B77" s="44"/>
      <c r="C77" s="44" t="str">
        <f>IF('09 Sous-phases'!$B$63="","",'09 Sous-phases'!$B$63)</f>
        <v/>
      </c>
      <c r="D77" s="44"/>
    </row>
    <row r="78" spans="2:4" x14ac:dyDescent="0.25">
      <c r="B78" s="44"/>
      <c r="C78" s="44" t="str">
        <f>IF('09 Sous-phases'!$B$64="","",'09 Sous-phases'!$B$64)</f>
        <v/>
      </c>
      <c r="D78" s="44"/>
    </row>
    <row r="79" spans="2:4" x14ac:dyDescent="0.25">
      <c r="B79" s="44"/>
      <c r="C79" s="44" t="str">
        <f>IF('09 Sous-phases'!$B$65="","",'09 Sous-phases'!$B$65)</f>
        <v/>
      </c>
      <c r="D79" s="44"/>
    </row>
    <row r="80" spans="2:4" x14ac:dyDescent="0.25">
      <c r="B80" s="44"/>
      <c r="C80" s="44" t="str">
        <f>IF('09 Sous-phases'!$B$66="","",'09 Sous-phases'!$B$66)</f>
        <v/>
      </c>
      <c r="D80" s="44"/>
    </row>
    <row r="81" spans="2:4" x14ac:dyDescent="0.25">
      <c r="B81" s="44"/>
      <c r="C81" s="44" t="str">
        <f>IF('09 Sous-phases'!$B$67="","",'09 Sous-phases'!$B$67)</f>
        <v/>
      </c>
      <c r="D81" s="44"/>
    </row>
    <row r="82" spans="2:4" x14ac:dyDescent="0.25">
      <c r="B82" s="44"/>
      <c r="C82" s="44" t="str">
        <f>IF('09 Sous-phases'!$B$68="","",'09 Sous-phases'!$B$68)</f>
        <v/>
      </c>
      <c r="D82" s="44"/>
    </row>
    <row r="83" spans="2:4" x14ac:dyDescent="0.25">
      <c r="B83" s="44"/>
      <c r="C83" s="44" t="str">
        <f>IF('09 Sous-phases'!$B$69="","",'09 Sous-phases'!$B$69)</f>
        <v/>
      </c>
      <c r="D83" s="44"/>
    </row>
    <row r="84" spans="2:4" x14ac:dyDescent="0.25">
      <c r="B84" s="44"/>
      <c r="C84" s="44" t="str">
        <f>IF('09 Sous-phases'!$B$70="","",'09 Sous-phases'!$B$70)</f>
        <v/>
      </c>
      <c r="D84" s="44"/>
    </row>
    <row r="85" spans="2:4" x14ac:dyDescent="0.25">
      <c r="B85" s="44"/>
      <c r="C85" s="44" t="str">
        <f>IF('09 Sous-phases'!$B$71="","",'09 Sous-phases'!$B$71)</f>
        <v/>
      </c>
      <c r="D85" s="44"/>
    </row>
    <row r="86" spans="2:4" x14ac:dyDescent="0.25">
      <c r="B86" s="44"/>
      <c r="C86" s="44" t="str">
        <f>IF('09 Sous-phases'!$B$72="","",'09 Sous-phases'!$B$72)</f>
        <v/>
      </c>
      <c r="D86" s="44"/>
    </row>
    <row r="87" spans="2:4" x14ac:dyDescent="0.25">
      <c r="B87" s="44"/>
      <c r="C87" s="44" t="str">
        <f>IF('09 Sous-phases'!$B$73="","",'09 Sous-phases'!$B$73)</f>
        <v/>
      </c>
      <c r="D87" s="44"/>
    </row>
    <row r="88" spans="2:4" x14ac:dyDescent="0.25">
      <c r="B88" s="44"/>
      <c r="C88" s="44" t="str">
        <f>IF('09 Sous-phases'!$B$74="","",'09 Sous-phases'!$B$74)</f>
        <v/>
      </c>
      <c r="D88" s="44"/>
    </row>
    <row r="89" spans="2:4" x14ac:dyDescent="0.25">
      <c r="B89" s="44"/>
      <c r="C89" s="44" t="str">
        <f>IF('09 Sous-phases'!$B$75="","",'09 Sous-phases'!$B$75)</f>
        <v/>
      </c>
      <c r="D89" s="44"/>
    </row>
    <row r="90" spans="2:4" x14ac:dyDescent="0.25">
      <c r="B90" s="44"/>
      <c r="C90" s="44" t="str">
        <f>IF('09 Sous-phases'!$B$76="","",'09 Sous-phases'!$B$76)</f>
        <v/>
      </c>
      <c r="D90" s="44"/>
    </row>
    <row r="91" spans="2:4" x14ac:dyDescent="0.25">
      <c r="B91" s="44"/>
      <c r="C91" s="44" t="str">
        <f>IF('09 Sous-phases'!$B$77="","",'09 Sous-phases'!$B$77)</f>
        <v/>
      </c>
      <c r="D91" s="44"/>
    </row>
    <row r="92" spans="2:4" x14ac:dyDescent="0.25">
      <c r="B92" s="44"/>
      <c r="C92" s="44" t="str">
        <f>IF('09 Sous-phases'!$B$78="","",'09 Sous-phases'!$B$78)</f>
        <v/>
      </c>
      <c r="D92" s="44"/>
    </row>
    <row r="93" spans="2:4" x14ac:dyDescent="0.25">
      <c r="B93" s="44"/>
      <c r="C93" s="44" t="str">
        <f>IF('09 Sous-phases'!$B$79="","",'09 Sous-phases'!$B$79)</f>
        <v/>
      </c>
      <c r="D93" s="44"/>
    </row>
    <row r="94" spans="2:4" x14ac:dyDescent="0.25">
      <c r="B94" s="44"/>
      <c r="C94" s="44" t="str">
        <f>IF('09 Sous-phases'!$B$80="","",'09 Sous-phases'!$B$80)</f>
        <v/>
      </c>
      <c r="D94" s="44"/>
    </row>
    <row r="95" spans="2:4" x14ac:dyDescent="0.25">
      <c r="B95" s="44"/>
      <c r="C95" s="44" t="str">
        <f>IF('09 Sous-phases'!$B$81="","",'09 Sous-phases'!$B$81)</f>
        <v/>
      </c>
      <c r="D95" s="44"/>
    </row>
    <row r="96" spans="2:4" x14ac:dyDescent="0.25">
      <c r="B96" s="44"/>
      <c r="C96" s="44" t="str">
        <f>IF('09 Sous-phases'!$B$82="","",'09 Sous-phases'!$B$82)</f>
        <v/>
      </c>
      <c r="D96" s="44"/>
    </row>
    <row r="97" spans="2:4" x14ac:dyDescent="0.25">
      <c r="B97" s="44"/>
      <c r="C97" s="44" t="str">
        <f>IF('09 Sous-phases'!$B$83="","",'09 Sous-phases'!$B$83)</f>
        <v/>
      </c>
      <c r="D97" s="44"/>
    </row>
    <row r="98" spans="2:4" x14ac:dyDescent="0.25">
      <c r="B98" s="44"/>
      <c r="C98" s="44" t="str">
        <f>IF('09 Sous-phases'!$B$84="","",'09 Sous-phases'!$B$84)</f>
        <v/>
      </c>
      <c r="D98" s="44"/>
    </row>
    <row r="99" spans="2:4" x14ac:dyDescent="0.25">
      <c r="B99" s="44"/>
      <c r="C99" s="44" t="str">
        <f>IF('09 Sous-phases'!$B$85="","",'09 Sous-phases'!$B$85)</f>
        <v/>
      </c>
      <c r="D99" s="44"/>
    </row>
    <row r="100" spans="2:4" x14ac:dyDescent="0.25">
      <c r="B100" s="44"/>
      <c r="C100" s="44" t="str">
        <f>IF('09 Sous-phases'!$B$86="","",'09 Sous-phases'!$B$86)</f>
        <v/>
      </c>
      <c r="D100" s="44"/>
    </row>
    <row r="101" spans="2:4" x14ac:dyDescent="0.25">
      <c r="B101" s="44"/>
      <c r="C101" s="44" t="str">
        <f>IF('09 Sous-phases'!$B$87="","",'09 Sous-phases'!$B$87)</f>
        <v/>
      </c>
      <c r="D101" s="44"/>
    </row>
    <row r="102" spans="2:4" x14ac:dyDescent="0.25">
      <c r="B102" s="44"/>
      <c r="C102" s="44" t="str">
        <f>IF('09 Sous-phases'!$B$88="","",'09 Sous-phases'!$B$88)</f>
        <v/>
      </c>
      <c r="D102" s="44"/>
    </row>
  </sheetData>
  <sheetProtection sheet="1" formatColumns="0" formatRows="0" sort="0" autoFilter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7DD8"/>
    <pageSetUpPr fitToPage="1"/>
  </sheetPr>
  <dimension ref="B1:E3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56" customWidth="1"/>
    <col min="4" max="4" width="11" customWidth="1"/>
    <col min="5" max="5" width="20" customWidth="1"/>
  </cols>
  <sheetData>
    <row r="1" spans="2:5" ht="12" customHeight="1" x14ac:dyDescent="0.25"/>
    <row r="2" spans="2:5" ht="33.950000000000003" customHeight="1" x14ac:dyDescent="0.45">
      <c r="B2" s="1" t="s">
        <v>22</v>
      </c>
      <c r="E2" s="35">
        <f>Complétude!$I18</f>
        <v>0</v>
      </c>
    </row>
    <row r="3" spans="2:5" ht="18" customHeight="1" x14ac:dyDescent="0.25">
      <c r="B3" s="2" t="s">
        <v>194</v>
      </c>
      <c r="E3" s="36" t="s">
        <v>195</v>
      </c>
    </row>
    <row r="4" spans="2:5" ht="18" customHeight="1" x14ac:dyDescent="0.25">
      <c r="B4" t="s">
        <v>196</v>
      </c>
    </row>
    <row r="5" spans="2:5" ht="15.95" customHeight="1" x14ac:dyDescent="0.25">
      <c r="B5" s="37" t="s">
        <v>197</v>
      </c>
    </row>
    <row r="6" spans="2:5" ht="9.9499999999999993" customHeight="1" x14ac:dyDescent="0.25"/>
    <row r="7" spans="2:5" ht="15" customHeight="1" x14ac:dyDescent="0.25">
      <c r="B7" s="38" t="s">
        <v>198</v>
      </c>
      <c r="C7" s="39" t="s">
        <v>199</v>
      </c>
      <c r="D7" s="40" t="s">
        <v>200</v>
      </c>
      <c r="E7" s="40" t="s">
        <v>201</v>
      </c>
    </row>
    <row r="8" spans="2:5" ht="26.1" customHeight="1" x14ac:dyDescent="0.25">
      <c r="B8" s="41" t="s">
        <v>202</v>
      </c>
      <c r="C8" s="41" t="s">
        <v>203</v>
      </c>
      <c r="D8" s="42" t="s">
        <v>29</v>
      </c>
      <c r="E8" s="42" t="s">
        <v>153</v>
      </c>
    </row>
    <row r="9" spans="2:5" ht="21" customHeight="1" x14ac:dyDescent="0.25">
      <c r="B9" s="43"/>
      <c r="C9" s="43"/>
      <c r="D9" s="44" t="str">
        <f>IF(B9="","",COUNTIF('03 Personnes'!$D$9:$D$158,B9))</f>
        <v/>
      </c>
      <c r="E9" s="45" t="str">
        <f t="shared" ref="E9:E38" si="0">IF(B9="","",IF(COUNTIF($B$9:$B$38,B9)&gt;1,"⚠ Nom en double","✓"))</f>
        <v/>
      </c>
    </row>
    <row r="10" spans="2:5" ht="21" customHeight="1" x14ac:dyDescent="0.25">
      <c r="B10" s="43"/>
      <c r="C10" s="43"/>
      <c r="D10" s="44" t="str">
        <f>IF(B10="","",COUNTIF('03 Personnes'!$D$9:$D$158,B10))</f>
        <v/>
      </c>
      <c r="E10" s="45" t="str">
        <f t="shared" si="0"/>
        <v/>
      </c>
    </row>
    <row r="11" spans="2:5" ht="21" customHeight="1" x14ac:dyDescent="0.25">
      <c r="B11" s="43"/>
      <c r="C11" s="43"/>
      <c r="D11" s="44" t="str">
        <f>IF(B11="","",COUNTIF('03 Personnes'!$D$9:$D$158,B11))</f>
        <v/>
      </c>
      <c r="E11" s="45" t="str">
        <f t="shared" si="0"/>
        <v/>
      </c>
    </row>
    <row r="12" spans="2:5" ht="21" customHeight="1" x14ac:dyDescent="0.25">
      <c r="B12" s="43"/>
      <c r="C12" s="43"/>
      <c r="D12" s="44" t="str">
        <f>IF(B12="","",COUNTIF('03 Personnes'!$D$9:$D$158,B12))</f>
        <v/>
      </c>
      <c r="E12" s="45" t="str">
        <f t="shared" si="0"/>
        <v/>
      </c>
    </row>
    <row r="13" spans="2:5" ht="21" customHeight="1" x14ac:dyDescent="0.25">
      <c r="B13" s="43"/>
      <c r="C13" s="43"/>
      <c r="D13" s="44" t="str">
        <f>IF(B13="","",COUNTIF('03 Personnes'!$D$9:$D$158,B13))</f>
        <v/>
      </c>
      <c r="E13" s="45" t="str">
        <f t="shared" si="0"/>
        <v/>
      </c>
    </row>
    <row r="14" spans="2:5" ht="21" customHeight="1" x14ac:dyDescent="0.25">
      <c r="B14" s="43"/>
      <c r="C14" s="43"/>
      <c r="D14" s="44" t="str">
        <f>IF(B14="","",COUNTIF('03 Personnes'!$D$9:$D$158,B14))</f>
        <v/>
      </c>
      <c r="E14" s="45" t="str">
        <f t="shared" si="0"/>
        <v/>
      </c>
    </row>
    <row r="15" spans="2:5" ht="21" customHeight="1" x14ac:dyDescent="0.25">
      <c r="B15" s="43"/>
      <c r="C15" s="43"/>
      <c r="D15" s="44" t="str">
        <f>IF(B15="","",COUNTIF('03 Personnes'!$D$9:$D$158,B15))</f>
        <v/>
      </c>
      <c r="E15" s="45" t="str">
        <f t="shared" si="0"/>
        <v/>
      </c>
    </row>
    <row r="16" spans="2:5" ht="21" customHeight="1" x14ac:dyDescent="0.25">
      <c r="B16" s="43"/>
      <c r="C16" s="43"/>
      <c r="D16" s="44" t="str">
        <f>IF(B16="","",COUNTIF('03 Personnes'!$D$9:$D$158,B16))</f>
        <v/>
      </c>
      <c r="E16" s="45" t="str">
        <f t="shared" si="0"/>
        <v/>
      </c>
    </row>
    <row r="17" spans="2:5" ht="21" customHeight="1" x14ac:dyDescent="0.25">
      <c r="B17" s="43"/>
      <c r="C17" s="43"/>
      <c r="D17" s="44" t="str">
        <f>IF(B17="","",COUNTIF('03 Personnes'!$D$9:$D$158,B17))</f>
        <v/>
      </c>
      <c r="E17" s="45" t="str">
        <f t="shared" si="0"/>
        <v/>
      </c>
    </row>
    <row r="18" spans="2:5" ht="21" customHeight="1" x14ac:dyDescent="0.25">
      <c r="B18" s="43"/>
      <c r="C18" s="43"/>
      <c r="D18" s="44" t="str">
        <f>IF(B18="","",COUNTIF('03 Personnes'!$D$9:$D$158,B18))</f>
        <v/>
      </c>
      <c r="E18" s="45" t="str">
        <f t="shared" si="0"/>
        <v/>
      </c>
    </row>
    <row r="19" spans="2:5" ht="21" customHeight="1" x14ac:dyDescent="0.25">
      <c r="B19" s="43"/>
      <c r="C19" s="43"/>
      <c r="D19" s="44" t="str">
        <f>IF(B19="","",COUNTIF('03 Personnes'!$D$9:$D$158,B19))</f>
        <v/>
      </c>
      <c r="E19" s="45" t="str">
        <f t="shared" si="0"/>
        <v/>
      </c>
    </row>
    <row r="20" spans="2:5" ht="21" customHeight="1" x14ac:dyDescent="0.25">
      <c r="B20" s="43"/>
      <c r="C20" s="43"/>
      <c r="D20" s="44" t="str">
        <f>IF(B20="","",COUNTIF('03 Personnes'!$D$9:$D$158,B20))</f>
        <v/>
      </c>
      <c r="E20" s="45" t="str">
        <f t="shared" si="0"/>
        <v/>
      </c>
    </row>
    <row r="21" spans="2:5" ht="21" customHeight="1" x14ac:dyDescent="0.25">
      <c r="B21" s="43"/>
      <c r="C21" s="43"/>
      <c r="D21" s="44" t="str">
        <f>IF(B21="","",COUNTIF('03 Personnes'!$D$9:$D$158,B21))</f>
        <v/>
      </c>
      <c r="E21" s="45" t="str">
        <f t="shared" si="0"/>
        <v/>
      </c>
    </row>
    <row r="22" spans="2:5" ht="21" customHeight="1" x14ac:dyDescent="0.25">
      <c r="B22" s="43"/>
      <c r="C22" s="43"/>
      <c r="D22" s="44" t="str">
        <f>IF(B22="","",COUNTIF('03 Personnes'!$D$9:$D$158,B22))</f>
        <v/>
      </c>
      <c r="E22" s="45" t="str">
        <f t="shared" si="0"/>
        <v/>
      </c>
    </row>
    <row r="23" spans="2:5" ht="21" customHeight="1" x14ac:dyDescent="0.25">
      <c r="B23" s="43"/>
      <c r="C23" s="43"/>
      <c r="D23" s="44" t="str">
        <f>IF(B23="","",COUNTIF('03 Personnes'!$D$9:$D$158,B23))</f>
        <v/>
      </c>
      <c r="E23" s="45" t="str">
        <f t="shared" si="0"/>
        <v/>
      </c>
    </row>
    <row r="24" spans="2:5" ht="21" customHeight="1" x14ac:dyDescent="0.25">
      <c r="B24" s="43"/>
      <c r="C24" s="43"/>
      <c r="D24" s="44" t="str">
        <f>IF(B24="","",COUNTIF('03 Personnes'!$D$9:$D$158,B24))</f>
        <v/>
      </c>
      <c r="E24" s="45" t="str">
        <f t="shared" si="0"/>
        <v/>
      </c>
    </row>
    <row r="25" spans="2:5" ht="21" customHeight="1" x14ac:dyDescent="0.25">
      <c r="B25" s="43"/>
      <c r="C25" s="43"/>
      <c r="D25" s="44" t="str">
        <f>IF(B25="","",COUNTIF('03 Personnes'!$D$9:$D$158,B25))</f>
        <v/>
      </c>
      <c r="E25" s="45" t="str">
        <f t="shared" si="0"/>
        <v/>
      </c>
    </row>
    <row r="26" spans="2:5" ht="21" customHeight="1" x14ac:dyDescent="0.25">
      <c r="B26" s="43"/>
      <c r="C26" s="43"/>
      <c r="D26" s="44" t="str">
        <f>IF(B26="","",COUNTIF('03 Personnes'!$D$9:$D$158,B26))</f>
        <v/>
      </c>
      <c r="E26" s="45" t="str">
        <f t="shared" si="0"/>
        <v/>
      </c>
    </row>
    <row r="27" spans="2:5" ht="21" customHeight="1" x14ac:dyDescent="0.25">
      <c r="B27" s="43"/>
      <c r="C27" s="43"/>
      <c r="D27" s="44" t="str">
        <f>IF(B27="","",COUNTIF('03 Personnes'!$D$9:$D$158,B27))</f>
        <v/>
      </c>
      <c r="E27" s="45" t="str">
        <f t="shared" si="0"/>
        <v/>
      </c>
    </row>
    <row r="28" spans="2:5" ht="21" customHeight="1" x14ac:dyDescent="0.25">
      <c r="B28" s="43"/>
      <c r="C28" s="43"/>
      <c r="D28" s="44" t="str">
        <f>IF(B28="","",COUNTIF('03 Personnes'!$D$9:$D$158,B28))</f>
        <v/>
      </c>
      <c r="E28" s="45" t="str">
        <f t="shared" si="0"/>
        <v/>
      </c>
    </row>
    <row r="29" spans="2:5" ht="21" customHeight="1" x14ac:dyDescent="0.25">
      <c r="B29" s="43"/>
      <c r="C29" s="43"/>
      <c r="D29" s="44" t="str">
        <f>IF(B29="","",COUNTIF('03 Personnes'!$D$9:$D$158,B29))</f>
        <v/>
      </c>
      <c r="E29" s="45" t="str">
        <f t="shared" si="0"/>
        <v/>
      </c>
    </row>
    <row r="30" spans="2:5" ht="21" customHeight="1" x14ac:dyDescent="0.25">
      <c r="B30" s="43"/>
      <c r="C30" s="43"/>
      <c r="D30" s="44" t="str">
        <f>IF(B30="","",COUNTIF('03 Personnes'!$D$9:$D$158,B30))</f>
        <v/>
      </c>
      <c r="E30" s="45" t="str">
        <f t="shared" si="0"/>
        <v/>
      </c>
    </row>
    <row r="31" spans="2:5" ht="21" customHeight="1" x14ac:dyDescent="0.25">
      <c r="B31" s="43"/>
      <c r="C31" s="43"/>
      <c r="D31" s="44" t="str">
        <f>IF(B31="","",COUNTIF('03 Personnes'!$D$9:$D$158,B31))</f>
        <v/>
      </c>
      <c r="E31" s="45" t="str">
        <f t="shared" si="0"/>
        <v/>
      </c>
    </row>
    <row r="32" spans="2:5" ht="21" customHeight="1" x14ac:dyDescent="0.25">
      <c r="B32" s="43"/>
      <c r="C32" s="43"/>
      <c r="D32" s="44" t="str">
        <f>IF(B32="","",COUNTIF('03 Personnes'!$D$9:$D$158,B32))</f>
        <v/>
      </c>
      <c r="E32" s="45" t="str">
        <f t="shared" si="0"/>
        <v/>
      </c>
    </row>
    <row r="33" spans="2:5" ht="21" customHeight="1" x14ac:dyDescent="0.25">
      <c r="B33" s="43"/>
      <c r="C33" s="43"/>
      <c r="D33" s="44" t="str">
        <f>IF(B33="","",COUNTIF('03 Personnes'!$D$9:$D$158,B33))</f>
        <v/>
      </c>
      <c r="E33" s="45" t="str">
        <f t="shared" si="0"/>
        <v/>
      </c>
    </row>
    <row r="34" spans="2:5" ht="21" customHeight="1" x14ac:dyDescent="0.25">
      <c r="B34" s="43"/>
      <c r="C34" s="43"/>
      <c r="D34" s="44" t="str">
        <f>IF(B34="","",COUNTIF('03 Personnes'!$D$9:$D$158,B34))</f>
        <v/>
      </c>
      <c r="E34" s="45" t="str">
        <f t="shared" si="0"/>
        <v/>
      </c>
    </row>
    <row r="35" spans="2:5" ht="21" customHeight="1" x14ac:dyDescent="0.25">
      <c r="B35" s="43"/>
      <c r="C35" s="43"/>
      <c r="D35" s="44" t="str">
        <f>IF(B35="","",COUNTIF('03 Personnes'!$D$9:$D$158,B35))</f>
        <v/>
      </c>
      <c r="E35" s="45" t="str">
        <f t="shared" si="0"/>
        <v/>
      </c>
    </row>
    <row r="36" spans="2:5" ht="21" customHeight="1" x14ac:dyDescent="0.25">
      <c r="B36" s="43"/>
      <c r="C36" s="43"/>
      <c r="D36" s="44" t="str">
        <f>IF(B36="","",COUNTIF('03 Personnes'!$D$9:$D$158,B36))</f>
        <v/>
      </c>
      <c r="E36" s="45" t="str">
        <f t="shared" si="0"/>
        <v/>
      </c>
    </row>
    <row r="37" spans="2:5" ht="21" customHeight="1" x14ac:dyDescent="0.25">
      <c r="B37" s="43"/>
      <c r="C37" s="43"/>
      <c r="D37" s="44" t="str">
        <f>IF(B37="","",COUNTIF('03 Personnes'!$D$9:$D$158,B37))</f>
        <v/>
      </c>
      <c r="E37" s="45" t="str">
        <f t="shared" si="0"/>
        <v/>
      </c>
    </row>
    <row r="38" spans="2:5" ht="21" customHeight="1" x14ac:dyDescent="0.25">
      <c r="B38" s="43"/>
      <c r="C38" s="43"/>
      <c r="D38" s="44" t="str">
        <f>IF(B38="","",COUNTIF('03 Personnes'!$D$9:$D$158,B38))</f>
        <v/>
      </c>
      <c r="E38" s="45" t="str">
        <f t="shared" si="0"/>
        <v/>
      </c>
    </row>
  </sheetData>
  <sheetProtection sheet="1" formatColumns="0" formatRows="0" sort="0" autoFilter="0"/>
  <autoFilter ref="B8:E8" xr:uid="{00000000-0009-0000-0000-000003000000}"/>
  <conditionalFormatting sqref="B9:B38">
    <cfRule type="expression" dxfId="59" priority="1">
      <formula>AND(OR($B9&lt;&gt;"",$C9&lt;&gt;""),B9="")</formula>
    </cfRule>
  </conditionalFormatting>
  <hyperlinks>
    <hyperlink ref="E3" location="#'Complétude'!A1" display="↩  Complétude" xr:uid="{00000000-0004-0000-03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0000000-000E-0000-0300-000002000000}">
            <xm:f>NOT(ISERROR(SEARCH("⚠",E9)))</xm:f>
            <x14:dxf>
              <font>
                <b/>
                <color rgb="FFC2473B"/>
              </font>
            </x14:dxf>
          </x14:cfRule>
          <x14:cfRule type="containsText" priority="3" operator="containsText" id="{00000000-000E-0000-0300-000003000000}">
            <xm:f>NOT(ISERROR(SEARCH("◔",E9)))</xm:f>
            <x14:dxf>
              <font>
                <b/>
                <color rgb="FFB26A12"/>
              </font>
            </x14:dxf>
          </x14:cfRule>
          <xm:sqref>E9:E38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7DD8"/>
    <pageSetUpPr fitToPage="1"/>
  </sheetPr>
  <dimension ref="B1:D4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56" customWidth="1"/>
    <col min="4" max="4" width="19" customWidth="1"/>
  </cols>
  <sheetData>
    <row r="1" spans="2:4" ht="12" customHeight="1" x14ac:dyDescent="0.25"/>
    <row r="2" spans="2:4" ht="33.950000000000003" customHeight="1" x14ac:dyDescent="0.45">
      <c r="B2" s="1" t="s">
        <v>26</v>
      </c>
      <c r="D2" s="35">
        <f>Complétude!$I19</f>
        <v>0</v>
      </c>
    </row>
    <row r="3" spans="2:4" ht="18" customHeight="1" x14ac:dyDescent="0.25">
      <c r="B3" s="2" t="s">
        <v>204</v>
      </c>
      <c r="D3" s="36" t="s">
        <v>195</v>
      </c>
    </row>
    <row r="4" spans="2:4" ht="18" customHeight="1" x14ac:dyDescent="0.25">
      <c r="B4" t="s">
        <v>205</v>
      </c>
    </row>
    <row r="5" spans="2:4" ht="15.95" customHeight="1" x14ac:dyDescent="0.25">
      <c r="B5" s="37" t="s">
        <v>206</v>
      </c>
    </row>
    <row r="6" spans="2:4" ht="9.9499999999999993" customHeight="1" x14ac:dyDescent="0.25"/>
    <row r="7" spans="2:4" ht="15" customHeight="1" x14ac:dyDescent="0.25">
      <c r="B7" s="38" t="s">
        <v>198</v>
      </c>
      <c r="C7" s="39" t="s">
        <v>199</v>
      </c>
      <c r="D7" s="40" t="s">
        <v>200</v>
      </c>
    </row>
    <row r="8" spans="2:4" ht="26.1" customHeight="1" x14ac:dyDescent="0.25">
      <c r="B8" s="41" t="s">
        <v>207</v>
      </c>
      <c r="C8" s="41" t="s">
        <v>203</v>
      </c>
      <c r="D8" s="42" t="s">
        <v>208</v>
      </c>
    </row>
    <row r="9" spans="2:4" ht="21" customHeight="1" x14ac:dyDescent="0.25">
      <c r="B9" s="43"/>
      <c r="C9" s="43"/>
      <c r="D9" s="44" t="str">
        <f>IF(B9="","",COUNTIFS('04 Affectations'!$C$9:$C$208,B9,'04 Affectations'!$G$9:$G$208,"Oui"))</f>
        <v/>
      </c>
    </row>
    <row r="10" spans="2:4" ht="21" customHeight="1" x14ac:dyDescent="0.25">
      <c r="B10" s="43"/>
      <c r="C10" s="43"/>
      <c r="D10" s="44" t="str">
        <f>IF(B10="","",COUNTIFS('04 Affectations'!$C$9:$C$208,B10,'04 Affectations'!$G$9:$G$208,"Oui"))</f>
        <v/>
      </c>
    </row>
    <row r="11" spans="2:4" ht="21" customHeight="1" x14ac:dyDescent="0.25">
      <c r="B11" s="43"/>
      <c r="C11" s="43"/>
      <c r="D11" s="44" t="str">
        <f>IF(B11="","",COUNTIFS('04 Affectations'!$C$9:$C$208,B11,'04 Affectations'!$G$9:$G$208,"Oui"))</f>
        <v/>
      </c>
    </row>
    <row r="12" spans="2:4" ht="21" customHeight="1" x14ac:dyDescent="0.25">
      <c r="B12" s="43"/>
      <c r="C12" s="43"/>
      <c r="D12" s="44" t="str">
        <f>IF(B12="","",COUNTIFS('04 Affectations'!$C$9:$C$208,B12,'04 Affectations'!$G$9:$G$208,"Oui"))</f>
        <v/>
      </c>
    </row>
    <row r="13" spans="2:4" ht="21" customHeight="1" x14ac:dyDescent="0.25">
      <c r="B13" s="43"/>
      <c r="C13" s="43"/>
      <c r="D13" s="44" t="str">
        <f>IF(B13="","",COUNTIFS('04 Affectations'!$C$9:$C$208,B13,'04 Affectations'!$G$9:$G$208,"Oui"))</f>
        <v/>
      </c>
    </row>
    <row r="14" spans="2:4" ht="21" customHeight="1" x14ac:dyDescent="0.25">
      <c r="B14" s="43"/>
      <c r="C14" s="43"/>
      <c r="D14" s="44" t="str">
        <f>IF(B14="","",COUNTIFS('04 Affectations'!$C$9:$C$208,B14,'04 Affectations'!$G$9:$G$208,"Oui"))</f>
        <v/>
      </c>
    </row>
    <row r="15" spans="2:4" ht="21" customHeight="1" x14ac:dyDescent="0.25">
      <c r="B15" s="43"/>
      <c r="C15" s="43"/>
      <c r="D15" s="44" t="str">
        <f>IF(B15="","",COUNTIFS('04 Affectations'!$C$9:$C$208,B15,'04 Affectations'!$G$9:$G$208,"Oui"))</f>
        <v/>
      </c>
    </row>
    <row r="16" spans="2:4" ht="21" customHeight="1" x14ac:dyDescent="0.25">
      <c r="B16" s="43"/>
      <c r="C16" s="43"/>
      <c r="D16" s="44" t="str">
        <f>IF(B16="","",COUNTIFS('04 Affectations'!$C$9:$C$208,B16,'04 Affectations'!$G$9:$G$208,"Oui"))</f>
        <v/>
      </c>
    </row>
    <row r="17" spans="2:4" ht="21" customHeight="1" x14ac:dyDescent="0.25">
      <c r="B17" s="43"/>
      <c r="C17" s="43"/>
      <c r="D17" s="44" t="str">
        <f>IF(B17="","",COUNTIFS('04 Affectations'!$C$9:$C$208,B17,'04 Affectations'!$G$9:$G$208,"Oui"))</f>
        <v/>
      </c>
    </row>
    <row r="18" spans="2:4" ht="21" customHeight="1" x14ac:dyDescent="0.25">
      <c r="B18" s="43"/>
      <c r="C18" s="43"/>
      <c r="D18" s="44" t="str">
        <f>IF(B18="","",COUNTIFS('04 Affectations'!$C$9:$C$208,B18,'04 Affectations'!$G$9:$G$208,"Oui"))</f>
        <v/>
      </c>
    </row>
    <row r="19" spans="2:4" ht="21" customHeight="1" x14ac:dyDescent="0.25">
      <c r="B19" s="43"/>
      <c r="C19" s="43"/>
      <c r="D19" s="44" t="str">
        <f>IF(B19="","",COUNTIFS('04 Affectations'!$C$9:$C$208,B19,'04 Affectations'!$G$9:$G$208,"Oui"))</f>
        <v/>
      </c>
    </row>
    <row r="20" spans="2:4" ht="21" customHeight="1" x14ac:dyDescent="0.25">
      <c r="B20" s="43"/>
      <c r="C20" s="43"/>
      <c r="D20" s="44" t="str">
        <f>IF(B20="","",COUNTIFS('04 Affectations'!$C$9:$C$208,B20,'04 Affectations'!$G$9:$G$208,"Oui"))</f>
        <v/>
      </c>
    </row>
    <row r="21" spans="2:4" ht="21" customHeight="1" x14ac:dyDescent="0.25">
      <c r="B21" s="43"/>
      <c r="C21" s="43"/>
      <c r="D21" s="44" t="str">
        <f>IF(B21="","",COUNTIFS('04 Affectations'!$C$9:$C$208,B21,'04 Affectations'!$G$9:$G$208,"Oui"))</f>
        <v/>
      </c>
    </row>
    <row r="22" spans="2:4" ht="21" customHeight="1" x14ac:dyDescent="0.25">
      <c r="B22" s="43"/>
      <c r="C22" s="43"/>
      <c r="D22" s="44" t="str">
        <f>IF(B22="","",COUNTIFS('04 Affectations'!$C$9:$C$208,B22,'04 Affectations'!$G$9:$G$208,"Oui"))</f>
        <v/>
      </c>
    </row>
    <row r="23" spans="2:4" ht="21" customHeight="1" x14ac:dyDescent="0.25">
      <c r="B23" s="43"/>
      <c r="C23" s="43"/>
      <c r="D23" s="44" t="str">
        <f>IF(B23="","",COUNTIFS('04 Affectations'!$C$9:$C$208,B23,'04 Affectations'!$G$9:$G$208,"Oui"))</f>
        <v/>
      </c>
    </row>
    <row r="24" spans="2:4" ht="21" customHeight="1" x14ac:dyDescent="0.25">
      <c r="B24" s="43"/>
      <c r="C24" s="43"/>
      <c r="D24" s="44" t="str">
        <f>IF(B24="","",COUNTIFS('04 Affectations'!$C$9:$C$208,B24,'04 Affectations'!$G$9:$G$208,"Oui"))</f>
        <v/>
      </c>
    </row>
    <row r="25" spans="2:4" ht="21" customHeight="1" x14ac:dyDescent="0.25">
      <c r="B25" s="43"/>
      <c r="C25" s="43"/>
      <c r="D25" s="44" t="str">
        <f>IF(B25="","",COUNTIFS('04 Affectations'!$C$9:$C$208,B25,'04 Affectations'!$G$9:$G$208,"Oui"))</f>
        <v/>
      </c>
    </row>
    <row r="26" spans="2:4" ht="21" customHeight="1" x14ac:dyDescent="0.25">
      <c r="B26" s="43"/>
      <c r="C26" s="43"/>
      <c r="D26" s="44" t="str">
        <f>IF(B26="","",COUNTIFS('04 Affectations'!$C$9:$C$208,B26,'04 Affectations'!$G$9:$G$208,"Oui"))</f>
        <v/>
      </c>
    </row>
    <row r="27" spans="2:4" ht="21" customHeight="1" x14ac:dyDescent="0.25">
      <c r="B27" s="43"/>
      <c r="C27" s="43"/>
      <c r="D27" s="44" t="str">
        <f>IF(B27="","",COUNTIFS('04 Affectations'!$C$9:$C$208,B27,'04 Affectations'!$G$9:$G$208,"Oui"))</f>
        <v/>
      </c>
    </row>
    <row r="28" spans="2:4" ht="21" customHeight="1" x14ac:dyDescent="0.25">
      <c r="B28" s="43"/>
      <c r="C28" s="43"/>
      <c r="D28" s="44" t="str">
        <f>IF(B28="","",COUNTIFS('04 Affectations'!$C$9:$C$208,B28,'04 Affectations'!$G$9:$G$208,"Oui"))</f>
        <v/>
      </c>
    </row>
    <row r="29" spans="2:4" ht="21" customHeight="1" x14ac:dyDescent="0.25">
      <c r="B29" s="43"/>
      <c r="C29" s="43"/>
      <c r="D29" s="44" t="str">
        <f>IF(B29="","",COUNTIFS('04 Affectations'!$C$9:$C$208,B29,'04 Affectations'!$G$9:$G$208,"Oui"))</f>
        <v/>
      </c>
    </row>
    <row r="30" spans="2:4" ht="21" customHeight="1" x14ac:dyDescent="0.25">
      <c r="B30" s="43"/>
      <c r="C30" s="43"/>
      <c r="D30" s="44" t="str">
        <f>IF(B30="","",COUNTIFS('04 Affectations'!$C$9:$C$208,B30,'04 Affectations'!$G$9:$G$208,"Oui"))</f>
        <v/>
      </c>
    </row>
    <row r="31" spans="2:4" ht="21" customHeight="1" x14ac:dyDescent="0.25">
      <c r="B31" s="43"/>
      <c r="C31" s="43"/>
      <c r="D31" s="44" t="str">
        <f>IF(B31="","",COUNTIFS('04 Affectations'!$C$9:$C$208,B31,'04 Affectations'!$G$9:$G$208,"Oui"))</f>
        <v/>
      </c>
    </row>
    <row r="32" spans="2:4" ht="21" customHeight="1" x14ac:dyDescent="0.25">
      <c r="B32" s="43"/>
      <c r="C32" s="43"/>
      <c r="D32" s="44" t="str">
        <f>IF(B32="","",COUNTIFS('04 Affectations'!$C$9:$C$208,B32,'04 Affectations'!$G$9:$G$208,"Oui"))</f>
        <v/>
      </c>
    </row>
    <row r="33" spans="2:4" ht="21" customHeight="1" x14ac:dyDescent="0.25">
      <c r="B33" s="43"/>
      <c r="C33" s="43"/>
      <c r="D33" s="44" t="str">
        <f>IF(B33="","",COUNTIFS('04 Affectations'!$C$9:$C$208,B33,'04 Affectations'!$G$9:$G$208,"Oui"))</f>
        <v/>
      </c>
    </row>
    <row r="34" spans="2:4" ht="21" customHeight="1" x14ac:dyDescent="0.25">
      <c r="B34" s="43"/>
      <c r="C34" s="43"/>
      <c r="D34" s="44" t="str">
        <f>IF(B34="","",COUNTIFS('04 Affectations'!$C$9:$C$208,B34,'04 Affectations'!$G$9:$G$208,"Oui"))</f>
        <v/>
      </c>
    </row>
    <row r="35" spans="2:4" ht="21" customHeight="1" x14ac:dyDescent="0.25">
      <c r="B35" s="43"/>
      <c r="C35" s="43"/>
      <c r="D35" s="44" t="str">
        <f>IF(B35="","",COUNTIFS('04 Affectations'!$C$9:$C$208,B35,'04 Affectations'!$G$9:$G$208,"Oui"))</f>
        <v/>
      </c>
    </row>
    <row r="36" spans="2:4" ht="21" customHeight="1" x14ac:dyDescent="0.25">
      <c r="B36" s="43"/>
      <c r="C36" s="43"/>
      <c r="D36" s="44" t="str">
        <f>IF(B36="","",COUNTIFS('04 Affectations'!$C$9:$C$208,B36,'04 Affectations'!$G$9:$G$208,"Oui"))</f>
        <v/>
      </c>
    </row>
    <row r="37" spans="2:4" ht="21" customHeight="1" x14ac:dyDescent="0.25">
      <c r="B37" s="43"/>
      <c r="C37" s="43"/>
      <c r="D37" s="44" t="str">
        <f>IF(B37="","",COUNTIFS('04 Affectations'!$C$9:$C$208,B37,'04 Affectations'!$G$9:$G$208,"Oui"))</f>
        <v/>
      </c>
    </row>
    <row r="38" spans="2:4" ht="21" customHeight="1" x14ac:dyDescent="0.25">
      <c r="B38" s="43"/>
      <c r="C38" s="43"/>
      <c r="D38" s="44" t="str">
        <f>IF(B38="","",COUNTIFS('04 Affectations'!$C$9:$C$208,B38,'04 Affectations'!$G$9:$G$208,"Oui"))</f>
        <v/>
      </c>
    </row>
    <row r="39" spans="2:4" ht="21" customHeight="1" x14ac:dyDescent="0.25">
      <c r="B39" s="43"/>
      <c r="C39" s="43"/>
      <c r="D39" s="44" t="str">
        <f>IF(B39="","",COUNTIFS('04 Affectations'!$C$9:$C$208,B39,'04 Affectations'!$G$9:$G$208,"Oui"))</f>
        <v/>
      </c>
    </row>
    <row r="40" spans="2:4" ht="21" customHeight="1" x14ac:dyDescent="0.25">
      <c r="B40" s="43"/>
      <c r="C40" s="43"/>
      <c r="D40" s="44" t="str">
        <f>IF(B40="","",COUNTIFS('04 Affectations'!$C$9:$C$208,B40,'04 Affectations'!$G$9:$G$208,"Oui"))</f>
        <v/>
      </c>
    </row>
    <row r="41" spans="2:4" ht="21" customHeight="1" x14ac:dyDescent="0.25">
      <c r="B41" s="43"/>
      <c r="C41" s="43"/>
      <c r="D41" s="44" t="str">
        <f>IF(B41="","",COUNTIFS('04 Affectations'!$C$9:$C$208,B41,'04 Affectations'!$G$9:$G$208,"Oui"))</f>
        <v/>
      </c>
    </row>
    <row r="42" spans="2:4" ht="21" customHeight="1" x14ac:dyDescent="0.25">
      <c r="B42" s="43"/>
      <c r="C42" s="43"/>
      <c r="D42" s="44" t="str">
        <f>IF(B42="","",COUNTIFS('04 Affectations'!$C$9:$C$208,B42,'04 Affectations'!$G$9:$G$208,"Oui"))</f>
        <v/>
      </c>
    </row>
    <row r="43" spans="2:4" ht="21" customHeight="1" x14ac:dyDescent="0.25">
      <c r="B43" s="43"/>
      <c r="C43" s="43"/>
      <c r="D43" s="44" t="str">
        <f>IF(B43="","",COUNTIFS('04 Affectations'!$C$9:$C$208,B43,'04 Affectations'!$G$9:$G$208,"Oui"))</f>
        <v/>
      </c>
    </row>
    <row r="44" spans="2:4" ht="21" customHeight="1" x14ac:dyDescent="0.25">
      <c r="B44" s="43"/>
      <c r="C44" s="43"/>
      <c r="D44" s="44" t="str">
        <f>IF(B44="","",COUNTIFS('04 Affectations'!$C$9:$C$208,B44,'04 Affectations'!$G$9:$G$208,"Oui"))</f>
        <v/>
      </c>
    </row>
    <row r="45" spans="2:4" ht="21" customHeight="1" x14ac:dyDescent="0.25">
      <c r="B45" s="43"/>
      <c r="C45" s="43"/>
      <c r="D45" s="44" t="str">
        <f>IF(B45="","",COUNTIFS('04 Affectations'!$C$9:$C$208,B45,'04 Affectations'!$G$9:$G$208,"Oui"))</f>
        <v/>
      </c>
    </row>
    <row r="46" spans="2:4" ht="21" customHeight="1" x14ac:dyDescent="0.25">
      <c r="B46" s="43"/>
      <c r="C46" s="43"/>
      <c r="D46" s="44" t="str">
        <f>IF(B46="","",COUNTIFS('04 Affectations'!$C$9:$C$208,B46,'04 Affectations'!$G$9:$G$208,"Oui"))</f>
        <v/>
      </c>
    </row>
    <row r="47" spans="2:4" ht="21" customHeight="1" x14ac:dyDescent="0.25">
      <c r="B47" s="43"/>
      <c r="C47" s="43"/>
      <c r="D47" s="44" t="str">
        <f>IF(B47="","",COUNTIFS('04 Affectations'!$C$9:$C$208,B47,'04 Affectations'!$G$9:$G$208,"Oui"))</f>
        <v/>
      </c>
    </row>
    <row r="48" spans="2:4" ht="21" customHeight="1" x14ac:dyDescent="0.25">
      <c r="B48" s="43"/>
      <c r="C48" s="43"/>
      <c r="D48" s="44" t="str">
        <f>IF(B48="","",COUNTIFS('04 Affectations'!$C$9:$C$208,B48,'04 Affectations'!$G$9:$G$208,"Oui"))</f>
        <v/>
      </c>
    </row>
  </sheetData>
  <sheetProtection sheet="1" formatColumns="0" formatRows="0" sort="0" autoFilter="0"/>
  <autoFilter ref="B8:D8" xr:uid="{00000000-0009-0000-0000-000004000000}"/>
  <conditionalFormatting sqref="B9:B48">
    <cfRule type="expression" dxfId="56" priority="1">
      <formula>AND(OR($B9&lt;&gt;"",$C9&lt;&gt;""),B9="")</formula>
    </cfRule>
  </conditionalFormatting>
  <hyperlinks>
    <hyperlink ref="D3" location="#'Complétude'!A1" display="↩  Complétude" xr:uid="{00000000-0004-0000-0400-000000000000}"/>
  </hyperlinks>
  <pageMargins left="0.4" right="0.4" top="0.5" bottom="0.5" header="0.2" footer="0.2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7DD8"/>
    <pageSetUpPr fitToPage="1"/>
  </sheetPr>
  <dimension ref="B1:H15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24" customWidth="1"/>
    <col min="3" max="3" width="30" customWidth="1"/>
    <col min="4" max="4" width="24" customWidth="1"/>
    <col min="5" max="5" width="28" customWidth="1"/>
    <col min="6" max="6" width="16" customWidth="1"/>
    <col min="8" max="8" width="22" customWidth="1"/>
  </cols>
  <sheetData>
    <row r="1" spans="2:8" ht="12" customHeight="1" x14ac:dyDescent="0.25"/>
    <row r="2" spans="2:8" ht="33.950000000000003" customHeight="1" x14ac:dyDescent="0.45">
      <c r="B2" s="1" t="s">
        <v>29</v>
      </c>
      <c r="H2" s="35">
        <f>Complétude!$I20</f>
        <v>0</v>
      </c>
    </row>
    <row r="3" spans="2:8" ht="18" customHeight="1" x14ac:dyDescent="0.25">
      <c r="B3" s="2" t="s">
        <v>209</v>
      </c>
      <c r="H3" s="36" t="s">
        <v>195</v>
      </c>
    </row>
    <row r="4" spans="2:8" ht="18" customHeight="1" x14ac:dyDescent="0.25">
      <c r="B4" t="s">
        <v>210</v>
      </c>
    </row>
    <row r="5" spans="2:8" ht="15.95" customHeight="1" x14ac:dyDescent="0.25">
      <c r="B5" s="37" t="s">
        <v>211</v>
      </c>
    </row>
    <row r="6" spans="2:8" ht="9.9499999999999993" customHeight="1" x14ac:dyDescent="0.25"/>
    <row r="7" spans="2:8" ht="15" customHeight="1" x14ac:dyDescent="0.25">
      <c r="B7" s="38" t="s">
        <v>198</v>
      </c>
      <c r="C7" s="38" t="s">
        <v>198</v>
      </c>
      <c r="D7" s="38" t="s">
        <v>212</v>
      </c>
      <c r="E7" s="39" t="s">
        <v>199</v>
      </c>
      <c r="F7" s="38" t="s">
        <v>212</v>
      </c>
      <c r="G7" s="39" t="s">
        <v>213</v>
      </c>
      <c r="H7" s="40" t="s">
        <v>201</v>
      </c>
    </row>
    <row r="8" spans="2:8" ht="26.1" customHeight="1" x14ac:dyDescent="0.25">
      <c r="B8" s="41" t="s">
        <v>214</v>
      </c>
      <c r="C8" s="41" t="s">
        <v>215</v>
      </c>
      <c r="D8" s="41" t="s">
        <v>82</v>
      </c>
      <c r="E8" s="41" t="s">
        <v>216</v>
      </c>
      <c r="F8" s="41" t="s">
        <v>90</v>
      </c>
      <c r="G8" s="41" t="s">
        <v>217</v>
      </c>
      <c r="H8" s="42" t="s">
        <v>153</v>
      </c>
    </row>
    <row r="9" spans="2:8" ht="21" customHeight="1" x14ac:dyDescent="0.25">
      <c r="B9" s="43"/>
      <c r="C9" s="43"/>
      <c r="D9" s="43"/>
      <c r="E9" s="43"/>
      <c r="F9" s="43"/>
      <c r="G9" s="43"/>
      <c r="H9" s="45" t="str">
        <f t="shared" ref="H9:H40" si="0">IF(B9="","",IF(COUNTIF($B$9:$B$158,B9)&gt;1,"⚠ Nom en double",IF(AND(C9&lt;&gt;"",ISERROR(FIND("@",C9))),"⚠ Email invalide",IF(AND(C9&lt;&gt;"",COUNTIF($C$9:$C$158,C9)&gt;1),"⚠ Email en double","✓"))))</f>
        <v/>
      </c>
    </row>
    <row r="10" spans="2:8" ht="21" customHeight="1" x14ac:dyDescent="0.25">
      <c r="B10" s="43"/>
      <c r="C10" s="43"/>
      <c r="D10" s="43"/>
      <c r="E10" s="43"/>
      <c r="F10" s="43"/>
      <c r="G10" s="43"/>
      <c r="H10" s="45" t="str">
        <f t="shared" si="0"/>
        <v/>
      </c>
    </row>
    <row r="11" spans="2:8" ht="21" customHeight="1" x14ac:dyDescent="0.25">
      <c r="B11" s="43"/>
      <c r="C11" s="43"/>
      <c r="D11" s="43"/>
      <c r="E11" s="43"/>
      <c r="F11" s="43"/>
      <c r="G11" s="43"/>
      <c r="H11" s="45" t="str">
        <f t="shared" si="0"/>
        <v/>
      </c>
    </row>
    <row r="12" spans="2:8" ht="21" customHeight="1" x14ac:dyDescent="0.25">
      <c r="B12" s="43"/>
      <c r="C12" s="43"/>
      <c r="D12" s="43"/>
      <c r="E12" s="43"/>
      <c r="F12" s="43"/>
      <c r="G12" s="43"/>
      <c r="H12" s="45" t="str">
        <f t="shared" si="0"/>
        <v/>
      </c>
    </row>
    <row r="13" spans="2:8" ht="21" customHeight="1" x14ac:dyDescent="0.25">
      <c r="B13" s="43"/>
      <c r="C13" s="43"/>
      <c r="D13" s="43"/>
      <c r="E13" s="43"/>
      <c r="F13" s="43"/>
      <c r="G13" s="43"/>
      <c r="H13" s="45" t="str">
        <f t="shared" si="0"/>
        <v/>
      </c>
    </row>
    <row r="14" spans="2:8" ht="21" customHeight="1" x14ac:dyDescent="0.25">
      <c r="B14" s="43"/>
      <c r="C14" s="43"/>
      <c r="D14" s="43"/>
      <c r="E14" s="43"/>
      <c r="F14" s="43"/>
      <c r="G14" s="43"/>
      <c r="H14" s="45" t="str">
        <f t="shared" si="0"/>
        <v/>
      </c>
    </row>
    <row r="15" spans="2:8" ht="21" customHeight="1" x14ac:dyDescent="0.25">
      <c r="B15" s="43"/>
      <c r="C15" s="43"/>
      <c r="D15" s="43"/>
      <c r="E15" s="43"/>
      <c r="F15" s="43"/>
      <c r="G15" s="43"/>
      <c r="H15" s="45" t="str">
        <f t="shared" si="0"/>
        <v/>
      </c>
    </row>
    <row r="16" spans="2:8" ht="21" customHeight="1" x14ac:dyDescent="0.25">
      <c r="B16" s="43"/>
      <c r="C16" s="43"/>
      <c r="D16" s="43"/>
      <c r="E16" s="43"/>
      <c r="F16" s="43"/>
      <c r="G16" s="43"/>
      <c r="H16" s="45" t="str">
        <f t="shared" si="0"/>
        <v/>
      </c>
    </row>
    <row r="17" spans="2:8" ht="21" customHeight="1" x14ac:dyDescent="0.25">
      <c r="B17" s="43"/>
      <c r="C17" s="43"/>
      <c r="D17" s="43"/>
      <c r="E17" s="43"/>
      <c r="F17" s="43"/>
      <c r="G17" s="43"/>
      <c r="H17" s="45" t="str">
        <f t="shared" si="0"/>
        <v/>
      </c>
    </row>
    <row r="18" spans="2:8" ht="21" customHeight="1" x14ac:dyDescent="0.25">
      <c r="B18" s="43"/>
      <c r="C18" s="43"/>
      <c r="D18" s="43"/>
      <c r="E18" s="43"/>
      <c r="F18" s="43"/>
      <c r="G18" s="43"/>
      <c r="H18" s="45" t="str">
        <f t="shared" si="0"/>
        <v/>
      </c>
    </row>
    <row r="19" spans="2:8" ht="21" customHeight="1" x14ac:dyDescent="0.25">
      <c r="B19" s="43"/>
      <c r="C19" s="43"/>
      <c r="D19" s="43"/>
      <c r="E19" s="43"/>
      <c r="F19" s="43"/>
      <c r="G19" s="43"/>
      <c r="H19" s="45" t="str">
        <f t="shared" si="0"/>
        <v/>
      </c>
    </row>
    <row r="20" spans="2:8" ht="21" customHeight="1" x14ac:dyDescent="0.25">
      <c r="B20" s="43"/>
      <c r="C20" s="43"/>
      <c r="D20" s="43"/>
      <c r="E20" s="43"/>
      <c r="F20" s="43"/>
      <c r="G20" s="43"/>
      <c r="H20" s="45" t="str">
        <f t="shared" si="0"/>
        <v/>
      </c>
    </row>
    <row r="21" spans="2:8" ht="21" customHeight="1" x14ac:dyDescent="0.25">
      <c r="B21" s="43"/>
      <c r="C21" s="43"/>
      <c r="D21" s="43"/>
      <c r="E21" s="43"/>
      <c r="F21" s="43"/>
      <c r="G21" s="43"/>
      <c r="H21" s="45" t="str">
        <f t="shared" si="0"/>
        <v/>
      </c>
    </row>
    <row r="22" spans="2:8" ht="21" customHeight="1" x14ac:dyDescent="0.25">
      <c r="B22" s="43"/>
      <c r="C22" s="43"/>
      <c r="D22" s="43"/>
      <c r="E22" s="43"/>
      <c r="F22" s="43"/>
      <c r="G22" s="43"/>
      <c r="H22" s="45" t="str">
        <f t="shared" si="0"/>
        <v/>
      </c>
    </row>
    <row r="23" spans="2:8" ht="21" customHeight="1" x14ac:dyDescent="0.25">
      <c r="B23" s="43"/>
      <c r="C23" s="43"/>
      <c r="D23" s="43"/>
      <c r="E23" s="43"/>
      <c r="F23" s="43"/>
      <c r="G23" s="43"/>
      <c r="H23" s="45" t="str">
        <f t="shared" si="0"/>
        <v/>
      </c>
    </row>
    <row r="24" spans="2:8" ht="21" customHeight="1" x14ac:dyDescent="0.25">
      <c r="B24" s="43"/>
      <c r="C24" s="43"/>
      <c r="D24" s="43"/>
      <c r="E24" s="43"/>
      <c r="F24" s="43"/>
      <c r="G24" s="43"/>
      <c r="H24" s="45" t="str">
        <f t="shared" si="0"/>
        <v/>
      </c>
    </row>
    <row r="25" spans="2:8" ht="21" customHeight="1" x14ac:dyDescent="0.25">
      <c r="B25" s="43"/>
      <c r="C25" s="43"/>
      <c r="D25" s="43"/>
      <c r="E25" s="43"/>
      <c r="F25" s="43"/>
      <c r="G25" s="43"/>
      <c r="H25" s="45" t="str">
        <f t="shared" si="0"/>
        <v/>
      </c>
    </row>
    <row r="26" spans="2:8" ht="21" customHeight="1" x14ac:dyDescent="0.25">
      <c r="B26" s="43"/>
      <c r="C26" s="43"/>
      <c r="D26" s="43"/>
      <c r="E26" s="43"/>
      <c r="F26" s="43"/>
      <c r="G26" s="43"/>
      <c r="H26" s="45" t="str">
        <f t="shared" si="0"/>
        <v/>
      </c>
    </row>
    <row r="27" spans="2:8" ht="21" customHeight="1" x14ac:dyDescent="0.25">
      <c r="B27" s="43"/>
      <c r="C27" s="43"/>
      <c r="D27" s="43"/>
      <c r="E27" s="43"/>
      <c r="F27" s="43"/>
      <c r="G27" s="43"/>
      <c r="H27" s="45" t="str">
        <f t="shared" si="0"/>
        <v/>
      </c>
    </row>
    <row r="28" spans="2:8" ht="21" customHeight="1" x14ac:dyDescent="0.25">
      <c r="B28" s="43"/>
      <c r="C28" s="43"/>
      <c r="D28" s="43"/>
      <c r="E28" s="43"/>
      <c r="F28" s="43"/>
      <c r="G28" s="43"/>
      <c r="H28" s="45" t="str">
        <f t="shared" si="0"/>
        <v/>
      </c>
    </row>
    <row r="29" spans="2:8" ht="21" customHeight="1" x14ac:dyDescent="0.25">
      <c r="B29" s="43"/>
      <c r="C29" s="43"/>
      <c r="D29" s="43"/>
      <c r="E29" s="43"/>
      <c r="F29" s="43"/>
      <c r="G29" s="43"/>
      <c r="H29" s="45" t="str">
        <f t="shared" si="0"/>
        <v/>
      </c>
    </row>
    <row r="30" spans="2:8" ht="21" customHeight="1" x14ac:dyDescent="0.25">
      <c r="B30" s="43"/>
      <c r="C30" s="43"/>
      <c r="D30" s="43"/>
      <c r="E30" s="43"/>
      <c r="F30" s="43"/>
      <c r="G30" s="43"/>
      <c r="H30" s="45" t="str">
        <f t="shared" si="0"/>
        <v/>
      </c>
    </row>
    <row r="31" spans="2:8" ht="21" customHeight="1" x14ac:dyDescent="0.25">
      <c r="B31" s="43"/>
      <c r="C31" s="43"/>
      <c r="D31" s="43"/>
      <c r="E31" s="43"/>
      <c r="F31" s="43"/>
      <c r="G31" s="43"/>
      <c r="H31" s="45" t="str">
        <f t="shared" si="0"/>
        <v/>
      </c>
    </row>
    <row r="32" spans="2:8" ht="21" customHeight="1" x14ac:dyDescent="0.25">
      <c r="B32" s="43"/>
      <c r="C32" s="43"/>
      <c r="D32" s="43"/>
      <c r="E32" s="43"/>
      <c r="F32" s="43"/>
      <c r="G32" s="43"/>
      <c r="H32" s="45" t="str">
        <f t="shared" si="0"/>
        <v/>
      </c>
    </row>
    <row r="33" spans="2:8" ht="21" customHeight="1" x14ac:dyDescent="0.25">
      <c r="B33" s="43"/>
      <c r="C33" s="43"/>
      <c r="D33" s="43"/>
      <c r="E33" s="43"/>
      <c r="F33" s="43"/>
      <c r="G33" s="43"/>
      <c r="H33" s="45" t="str">
        <f t="shared" si="0"/>
        <v/>
      </c>
    </row>
    <row r="34" spans="2:8" ht="21" customHeight="1" x14ac:dyDescent="0.25">
      <c r="B34" s="43"/>
      <c r="C34" s="43"/>
      <c r="D34" s="43"/>
      <c r="E34" s="43"/>
      <c r="F34" s="43"/>
      <c r="G34" s="43"/>
      <c r="H34" s="45" t="str">
        <f t="shared" si="0"/>
        <v/>
      </c>
    </row>
    <row r="35" spans="2:8" ht="21" customHeight="1" x14ac:dyDescent="0.25">
      <c r="B35" s="43"/>
      <c r="C35" s="43"/>
      <c r="D35" s="43"/>
      <c r="E35" s="43"/>
      <c r="F35" s="43"/>
      <c r="G35" s="43"/>
      <c r="H35" s="45" t="str">
        <f t="shared" si="0"/>
        <v/>
      </c>
    </row>
    <row r="36" spans="2:8" ht="21" customHeight="1" x14ac:dyDescent="0.25">
      <c r="B36" s="43"/>
      <c r="C36" s="43"/>
      <c r="D36" s="43"/>
      <c r="E36" s="43"/>
      <c r="F36" s="43"/>
      <c r="G36" s="43"/>
      <c r="H36" s="45" t="str">
        <f t="shared" si="0"/>
        <v/>
      </c>
    </row>
    <row r="37" spans="2:8" ht="21" customHeight="1" x14ac:dyDescent="0.25">
      <c r="B37" s="43"/>
      <c r="C37" s="43"/>
      <c r="D37" s="43"/>
      <c r="E37" s="43"/>
      <c r="F37" s="43"/>
      <c r="G37" s="43"/>
      <c r="H37" s="45" t="str">
        <f t="shared" si="0"/>
        <v/>
      </c>
    </row>
    <row r="38" spans="2:8" ht="21" customHeight="1" x14ac:dyDescent="0.25">
      <c r="B38" s="43"/>
      <c r="C38" s="43"/>
      <c r="D38" s="43"/>
      <c r="E38" s="43"/>
      <c r="F38" s="43"/>
      <c r="G38" s="43"/>
      <c r="H38" s="45" t="str">
        <f t="shared" si="0"/>
        <v/>
      </c>
    </row>
    <row r="39" spans="2:8" ht="21" customHeight="1" x14ac:dyDescent="0.25">
      <c r="B39" s="43"/>
      <c r="C39" s="43"/>
      <c r="D39" s="43"/>
      <c r="E39" s="43"/>
      <c r="F39" s="43"/>
      <c r="G39" s="43"/>
      <c r="H39" s="45" t="str">
        <f t="shared" si="0"/>
        <v/>
      </c>
    </row>
    <row r="40" spans="2:8" ht="21" customHeight="1" x14ac:dyDescent="0.25">
      <c r="B40" s="43"/>
      <c r="C40" s="43"/>
      <c r="D40" s="43"/>
      <c r="E40" s="43"/>
      <c r="F40" s="43"/>
      <c r="G40" s="43"/>
      <c r="H40" s="45" t="str">
        <f t="shared" si="0"/>
        <v/>
      </c>
    </row>
    <row r="41" spans="2:8" ht="21" customHeight="1" x14ac:dyDescent="0.25">
      <c r="B41" s="43"/>
      <c r="C41" s="43"/>
      <c r="D41" s="43"/>
      <c r="E41" s="43"/>
      <c r="F41" s="43"/>
      <c r="G41" s="43"/>
      <c r="H41" s="45" t="str">
        <f t="shared" ref="H41:H72" si="1">IF(B41="","",IF(COUNTIF($B$9:$B$158,B41)&gt;1,"⚠ Nom en double",IF(AND(C41&lt;&gt;"",ISERROR(FIND("@",C41))),"⚠ Email invalide",IF(AND(C41&lt;&gt;"",COUNTIF($C$9:$C$158,C41)&gt;1),"⚠ Email en double","✓"))))</f>
        <v/>
      </c>
    </row>
    <row r="42" spans="2:8" ht="21" customHeight="1" x14ac:dyDescent="0.25">
      <c r="B42" s="43"/>
      <c r="C42" s="43"/>
      <c r="D42" s="43"/>
      <c r="E42" s="43"/>
      <c r="F42" s="43"/>
      <c r="G42" s="43"/>
      <c r="H42" s="45" t="str">
        <f t="shared" si="1"/>
        <v/>
      </c>
    </row>
    <row r="43" spans="2:8" ht="21" customHeight="1" x14ac:dyDescent="0.25">
      <c r="B43" s="43"/>
      <c r="C43" s="43"/>
      <c r="D43" s="43"/>
      <c r="E43" s="43"/>
      <c r="F43" s="43"/>
      <c r="G43" s="43"/>
      <c r="H43" s="45" t="str">
        <f t="shared" si="1"/>
        <v/>
      </c>
    </row>
    <row r="44" spans="2:8" ht="21" customHeight="1" x14ac:dyDescent="0.25">
      <c r="B44" s="43"/>
      <c r="C44" s="43"/>
      <c r="D44" s="43"/>
      <c r="E44" s="43"/>
      <c r="F44" s="43"/>
      <c r="G44" s="43"/>
      <c r="H44" s="45" t="str">
        <f t="shared" si="1"/>
        <v/>
      </c>
    </row>
    <row r="45" spans="2:8" ht="21" customHeight="1" x14ac:dyDescent="0.25">
      <c r="B45" s="43"/>
      <c r="C45" s="43"/>
      <c r="D45" s="43"/>
      <c r="E45" s="43"/>
      <c r="F45" s="43"/>
      <c r="G45" s="43"/>
      <c r="H45" s="45" t="str">
        <f t="shared" si="1"/>
        <v/>
      </c>
    </row>
    <row r="46" spans="2:8" ht="21" customHeight="1" x14ac:dyDescent="0.25">
      <c r="B46" s="43"/>
      <c r="C46" s="43"/>
      <c r="D46" s="43"/>
      <c r="E46" s="43"/>
      <c r="F46" s="43"/>
      <c r="G46" s="43"/>
      <c r="H46" s="45" t="str">
        <f t="shared" si="1"/>
        <v/>
      </c>
    </row>
    <row r="47" spans="2:8" ht="21" customHeight="1" x14ac:dyDescent="0.25">
      <c r="B47" s="43"/>
      <c r="C47" s="43"/>
      <c r="D47" s="43"/>
      <c r="E47" s="43"/>
      <c r="F47" s="43"/>
      <c r="G47" s="43"/>
      <c r="H47" s="45" t="str">
        <f t="shared" si="1"/>
        <v/>
      </c>
    </row>
    <row r="48" spans="2:8" ht="21" customHeight="1" x14ac:dyDescent="0.25">
      <c r="B48" s="43"/>
      <c r="C48" s="43"/>
      <c r="D48" s="43"/>
      <c r="E48" s="43"/>
      <c r="F48" s="43"/>
      <c r="G48" s="43"/>
      <c r="H48" s="45" t="str">
        <f t="shared" si="1"/>
        <v/>
      </c>
    </row>
    <row r="49" spans="2:8" ht="21" customHeight="1" x14ac:dyDescent="0.25">
      <c r="B49" s="43"/>
      <c r="C49" s="43"/>
      <c r="D49" s="43"/>
      <c r="E49" s="43"/>
      <c r="F49" s="43"/>
      <c r="G49" s="43"/>
      <c r="H49" s="45" t="str">
        <f t="shared" si="1"/>
        <v/>
      </c>
    </row>
    <row r="50" spans="2:8" ht="21" customHeight="1" x14ac:dyDescent="0.25">
      <c r="B50" s="43"/>
      <c r="C50" s="43"/>
      <c r="D50" s="43"/>
      <c r="E50" s="43"/>
      <c r="F50" s="43"/>
      <c r="G50" s="43"/>
      <c r="H50" s="45" t="str">
        <f t="shared" si="1"/>
        <v/>
      </c>
    </row>
    <row r="51" spans="2:8" ht="21" customHeight="1" x14ac:dyDescent="0.25">
      <c r="B51" s="43"/>
      <c r="C51" s="43"/>
      <c r="D51" s="43"/>
      <c r="E51" s="43"/>
      <c r="F51" s="43"/>
      <c r="G51" s="43"/>
      <c r="H51" s="45" t="str">
        <f t="shared" si="1"/>
        <v/>
      </c>
    </row>
    <row r="52" spans="2:8" ht="21" customHeight="1" x14ac:dyDescent="0.25">
      <c r="B52" s="43"/>
      <c r="C52" s="43"/>
      <c r="D52" s="43"/>
      <c r="E52" s="43"/>
      <c r="F52" s="43"/>
      <c r="G52" s="43"/>
      <c r="H52" s="45" t="str">
        <f t="shared" si="1"/>
        <v/>
      </c>
    </row>
    <row r="53" spans="2:8" ht="21" customHeight="1" x14ac:dyDescent="0.25">
      <c r="B53" s="43"/>
      <c r="C53" s="43"/>
      <c r="D53" s="43"/>
      <c r="E53" s="43"/>
      <c r="F53" s="43"/>
      <c r="G53" s="43"/>
      <c r="H53" s="45" t="str">
        <f t="shared" si="1"/>
        <v/>
      </c>
    </row>
    <row r="54" spans="2:8" ht="21" customHeight="1" x14ac:dyDescent="0.25">
      <c r="B54" s="43"/>
      <c r="C54" s="43"/>
      <c r="D54" s="43"/>
      <c r="E54" s="43"/>
      <c r="F54" s="43"/>
      <c r="G54" s="43"/>
      <c r="H54" s="45" t="str">
        <f t="shared" si="1"/>
        <v/>
      </c>
    </row>
    <row r="55" spans="2:8" ht="21" customHeight="1" x14ac:dyDescent="0.25">
      <c r="B55" s="43"/>
      <c r="C55" s="43"/>
      <c r="D55" s="43"/>
      <c r="E55" s="43"/>
      <c r="F55" s="43"/>
      <c r="G55" s="43"/>
      <c r="H55" s="45" t="str">
        <f t="shared" si="1"/>
        <v/>
      </c>
    </row>
    <row r="56" spans="2:8" ht="21" customHeight="1" x14ac:dyDescent="0.25">
      <c r="B56" s="43"/>
      <c r="C56" s="43"/>
      <c r="D56" s="43"/>
      <c r="E56" s="43"/>
      <c r="F56" s="43"/>
      <c r="G56" s="43"/>
      <c r="H56" s="45" t="str">
        <f t="shared" si="1"/>
        <v/>
      </c>
    </row>
    <row r="57" spans="2:8" ht="21" customHeight="1" x14ac:dyDescent="0.25">
      <c r="B57" s="43"/>
      <c r="C57" s="43"/>
      <c r="D57" s="43"/>
      <c r="E57" s="43"/>
      <c r="F57" s="43"/>
      <c r="G57" s="43"/>
      <c r="H57" s="45" t="str">
        <f t="shared" si="1"/>
        <v/>
      </c>
    </row>
    <row r="58" spans="2:8" ht="21" customHeight="1" x14ac:dyDescent="0.25">
      <c r="B58" s="43"/>
      <c r="C58" s="43"/>
      <c r="D58" s="43"/>
      <c r="E58" s="43"/>
      <c r="F58" s="43"/>
      <c r="G58" s="43"/>
      <c r="H58" s="45" t="str">
        <f t="shared" si="1"/>
        <v/>
      </c>
    </row>
    <row r="59" spans="2:8" ht="21" customHeight="1" x14ac:dyDescent="0.25">
      <c r="B59" s="43"/>
      <c r="C59" s="43"/>
      <c r="D59" s="43"/>
      <c r="E59" s="43"/>
      <c r="F59" s="43"/>
      <c r="G59" s="43"/>
      <c r="H59" s="45" t="str">
        <f t="shared" si="1"/>
        <v/>
      </c>
    </row>
    <row r="60" spans="2:8" ht="21" customHeight="1" x14ac:dyDescent="0.25">
      <c r="B60" s="43"/>
      <c r="C60" s="43"/>
      <c r="D60" s="43"/>
      <c r="E60" s="43"/>
      <c r="F60" s="43"/>
      <c r="G60" s="43"/>
      <c r="H60" s="45" t="str">
        <f t="shared" si="1"/>
        <v/>
      </c>
    </row>
    <row r="61" spans="2:8" ht="21" customHeight="1" x14ac:dyDescent="0.25">
      <c r="B61" s="43"/>
      <c r="C61" s="43"/>
      <c r="D61" s="43"/>
      <c r="E61" s="43"/>
      <c r="F61" s="43"/>
      <c r="G61" s="43"/>
      <c r="H61" s="45" t="str">
        <f t="shared" si="1"/>
        <v/>
      </c>
    </row>
    <row r="62" spans="2:8" ht="21" customHeight="1" x14ac:dyDescent="0.25">
      <c r="B62" s="43"/>
      <c r="C62" s="43"/>
      <c r="D62" s="43"/>
      <c r="E62" s="43"/>
      <c r="F62" s="43"/>
      <c r="G62" s="43"/>
      <c r="H62" s="45" t="str">
        <f t="shared" si="1"/>
        <v/>
      </c>
    </row>
    <row r="63" spans="2:8" ht="21" customHeight="1" x14ac:dyDescent="0.25">
      <c r="B63" s="43"/>
      <c r="C63" s="43"/>
      <c r="D63" s="43"/>
      <c r="E63" s="43"/>
      <c r="F63" s="43"/>
      <c r="G63" s="43"/>
      <c r="H63" s="45" t="str">
        <f t="shared" si="1"/>
        <v/>
      </c>
    </row>
    <row r="64" spans="2:8" ht="21" customHeight="1" x14ac:dyDescent="0.25">
      <c r="B64" s="43"/>
      <c r="C64" s="43"/>
      <c r="D64" s="43"/>
      <c r="E64" s="43"/>
      <c r="F64" s="43"/>
      <c r="G64" s="43"/>
      <c r="H64" s="45" t="str">
        <f t="shared" si="1"/>
        <v/>
      </c>
    </row>
    <row r="65" spans="2:8" ht="21" customHeight="1" x14ac:dyDescent="0.25">
      <c r="B65" s="43"/>
      <c r="C65" s="43"/>
      <c r="D65" s="43"/>
      <c r="E65" s="43"/>
      <c r="F65" s="43"/>
      <c r="G65" s="43"/>
      <c r="H65" s="45" t="str">
        <f t="shared" si="1"/>
        <v/>
      </c>
    </row>
    <row r="66" spans="2:8" ht="21" customHeight="1" x14ac:dyDescent="0.25">
      <c r="B66" s="43"/>
      <c r="C66" s="43"/>
      <c r="D66" s="43"/>
      <c r="E66" s="43"/>
      <c r="F66" s="43"/>
      <c r="G66" s="43"/>
      <c r="H66" s="45" t="str">
        <f t="shared" si="1"/>
        <v/>
      </c>
    </row>
    <row r="67" spans="2:8" ht="21" customHeight="1" x14ac:dyDescent="0.25">
      <c r="B67" s="43"/>
      <c r="C67" s="43"/>
      <c r="D67" s="43"/>
      <c r="E67" s="43"/>
      <c r="F67" s="43"/>
      <c r="G67" s="43"/>
      <c r="H67" s="45" t="str">
        <f t="shared" si="1"/>
        <v/>
      </c>
    </row>
    <row r="68" spans="2:8" ht="21" customHeight="1" x14ac:dyDescent="0.25">
      <c r="B68" s="43"/>
      <c r="C68" s="43"/>
      <c r="D68" s="43"/>
      <c r="E68" s="43"/>
      <c r="F68" s="43"/>
      <c r="G68" s="43"/>
      <c r="H68" s="45" t="str">
        <f t="shared" si="1"/>
        <v/>
      </c>
    </row>
    <row r="69" spans="2:8" ht="21" customHeight="1" x14ac:dyDescent="0.25">
      <c r="B69" s="43"/>
      <c r="C69" s="43"/>
      <c r="D69" s="43"/>
      <c r="E69" s="43"/>
      <c r="F69" s="43"/>
      <c r="G69" s="43"/>
      <c r="H69" s="45" t="str">
        <f t="shared" si="1"/>
        <v/>
      </c>
    </row>
    <row r="70" spans="2:8" ht="21" customHeight="1" x14ac:dyDescent="0.25">
      <c r="B70" s="43"/>
      <c r="C70" s="43"/>
      <c r="D70" s="43"/>
      <c r="E70" s="43"/>
      <c r="F70" s="43"/>
      <c r="G70" s="43"/>
      <c r="H70" s="45" t="str">
        <f t="shared" si="1"/>
        <v/>
      </c>
    </row>
    <row r="71" spans="2:8" ht="21" customHeight="1" x14ac:dyDescent="0.25">
      <c r="B71" s="43"/>
      <c r="C71" s="43"/>
      <c r="D71" s="43"/>
      <c r="E71" s="43"/>
      <c r="F71" s="43"/>
      <c r="G71" s="43"/>
      <c r="H71" s="45" t="str">
        <f t="shared" si="1"/>
        <v/>
      </c>
    </row>
    <row r="72" spans="2:8" ht="21" customHeight="1" x14ac:dyDescent="0.25">
      <c r="B72" s="43"/>
      <c r="C72" s="43"/>
      <c r="D72" s="43"/>
      <c r="E72" s="43"/>
      <c r="F72" s="43"/>
      <c r="G72" s="43"/>
      <c r="H72" s="45" t="str">
        <f t="shared" si="1"/>
        <v/>
      </c>
    </row>
    <row r="73" spans="2:8" ht="21" customHeight="1" x14ac:dyDescent="0.25">
      <c r="B73" s="43"/>
      <c r="C73" s="43"/>
      <c r="D73" s="43"/>
      <c r="E73" s="43"/>
      <c r="F73" s="43"/>
      <c r="G73" s="43"/>
      <c r="H73" s="45" t="str">
        <f t="shared" ref="H73:H104" si="2">IF(B73="","",IF(COUNTIF($B$9:$B$158,B73)&gt;1,"⚠ Nom en double",IF(AND(C73&lt;&gt;"",ISERROR(FIND("@",C73))),"⚠ Email invalide",IF(AND(C73&lt;&gt;"",COUNTIF($C$9:$C$158,C73)&gt;1),"⚠ Email en double","✓"))))</f>
        <v/>
      </c>
    </row>
    <row r="74" spans="2:8" ht="21" customHeight="1" x14ac:dyDescent="0.25">
      <c r="B74" s="43"/>
      <c r="C74" s="43"/>
      <c r="D74" s="43"/>
      <c r="E74" s="43"/>
      <c r="F74" s="43"/>
      <c r="G74" s="43"/>
      <c r="H74" s="45" t="str">
        <f t="shared" si="2"/>
        <v/>
      </c>
    </row>
    <row r="75" spans="2:8" ht="21" customHeight="1" x14ac:dyDescent="0.25">
      <c r="B75" s="43"/>
      <c r="C75" s="43"/>
      <c r="D75" s="43"/>
      <c r="E75" s="43"/>
      <c r="F75" s="43"/>
      <c r="G75" s="43"/>
      <c r="H75" s="45" t="str">
        <f t="shared" si="2"/>
        <v/>
      </c>
    </row>
    <row r="76" spans="2:8" ht="21" customHeight="1" x14ac:dyDescent="0.25">
      <c r="B76" s="43"/>
      <c r="C76" s="43"/>
      <c r="D76" s="43"/>
      <c r="E76" s="43"/>
      <c r="F76" s="43"/>
      <c r="G76" s="43"/>
      <c r="H76" s="45" t="str">
        <f t="shared" si="2"/>
        <v/>
      </c>
    </row>
    <row r="77" spans="2:8" ht="21" customHeight="1" x14ac:dyDescent="0.25">
      <c r="B77" s="43"/>
      <c r="C77" s="43"/>
      <c r="D77" s="43"/>
      <c r="E77" s="43"/>
      <c r="F77" s="43"/>
      <c r="G77" s="43"/>
      <c r="H77" s="45" t="str">
        <f t="shared" si="2"/>
        <v/>
      </c>
    </row>
    <row r="78" spans="2:8" ht="21" customHeight="1" x14ac:dyDescent="0.25">
      <c r="B78" s="43"/>
      <c r="C78" s="43"/>
      <c r="D78" s="43"/>
      <c r="E78" s="43"/>
      <c r="F78" s="43"/>
      <c r="G78" s="43"/>
      <c r="H78" s="45" t="str">
        <f t="shared" si="2"/>
        <v/>
      </c>
    </row>
    <row r="79" spans="2:8" ht="21" customHeight="1" x14ac:dyDescent="0.25">
      <c r="B79" s="43"/>
      <c r="C79" s="43"/>
      <c r="D79" s="43"/>
      <c r="E79" s="43"/>
      <c r="F79" s="43"/>
      <c r="G79" s="43"/>
      <c r="H79" s="45" t="str">
        <f t="shared" si="2"/>
        <v/>
      </c>
    </row>
    <row r="80" spans="2:8" ht="21" customHeight="1" x14ac:dyDescent="0.25">
      <c r="B80" s="43"/>
      <c r="C80" s="43"/>
      <c r="D80" s="43"/>
      <c r="E80" s="43"/>
      <c r="F80" s="43"/>
      <c r="G80" s="43"/>
      <c r="H80" s="45" t="str">
        <f t="shared" si="2"/>
        <v/>
      </c>
    </row>
    <row r="81" spans="2:8" ht="21" customHeight="1" x14ac:dyDescent="0.25">
      <c r="B81" s="43"/>
      <c r="C81" s="43"/>
      <c r="D81" s="43"/>
      <c r="E81" s="43"/>
      <c r="F81" s="43"/>
      <c r="G81" s="43"/>
      <c r="H81" s="45" t="str">
        <f t="shared" si="2"/>
        <v/>
      </c>
    </row>
    <row r="82" spans="2:8" ht="21" customHeight="1" x14ac:dyDescent="0.25">
      <c r="B82" s="43"/>
      <c r="C82" s="43"/>
      <c r="D82" s="43"/>
      <c r="E82" s="43"/>
      <c r="F82" s="43"/>
      <c r="G82" s="43"/>
      <c r="H82" s="45" t="str">
        <f t="shared" si="2"/>
        <v/>
      </c>
    </row>
    <row r="83" spans="2:8" ht="21" customHeight="1" x14ac:dyDescent="0.25">
      <c r="B83" s="43"/>
      <c r="C83" s="43"/>
      <c r="D83" s="43"/>
      <c r="E83" s="43"/>
      <c r="F83" s="43"/>
      <c r="G83" s="43"/>
      <c r="H83" s="45" t="str">
        <f t="shared" si="2"/>
        <v/>
      </c>
    </row>
    <row r="84" spans="2:8" ht="21" customHeight="1" x14ac:dyDescent="0.25">
      <c r="B84" s="43"/>
      <c r="C84" s="43"/>
      <c r="D84" s="43"/>
      <c r="E84" s="43"/>
      <c r="F84" s="43"/>
      <c r="G84" s="43"/>
      <c r="H84" s="45" t="str">
        <f t="shared" si="2"/>
        <v/>
      </c>
    </row>
    <row r="85" spans="2:8" ht="21" customHeight="1" x14ac:dyDescent="0.25">
      <c r="B85" s="43"/>
      <c r="C85" s="43"/>
      <c r="D85" s="43"/>
      <c r="E85" s="43"/>
      <c r="F85" s="43"/>
      <c r="G85" s="43"/>
      <c r="H85" s="45" t="str">
        <f t="shared" si="2"/>
        <v/>
      </c>
    </row>
    <row r="86" spans="2:8" ht="21" customHeight="1" x14ac:dyDescent="0.25">
      <c r="B86" s="43"/>
      <c r="C86" s="43"/>
      <c r="D86" s="43"/>
      <c r="E86" s="43"/>
      <c r="F86" s="43"/>
      <c r="G86" s="43"/>
      <c r="H86" s="45" t="str">
        <f t="shared" si="2"/>
        <v/>
      </c>
    </row>
    <row r="87" spans="2:8" ht="21" customHeight="1" x14ac:dyDescent="0.25">
      <c r="B87" s="43"/>
      <c r="C87" s="43"/>
      <c r="D87" s="43"/>
      <c r="E87" s="43"/>
      <c r="F87" s="43"/>
      <c r="G87" s="43"/>
      <c r="H87" s="45" t="str">
        <f t="shared" si="2"/>
        <v/>
      </c>
    </row>
    <row r="88" spans="2:8" ht="21" customHeight="1" x14ac:dyDescent="0.25">
      <c r="B88" s="43"/>
      <c r="C88" s="43"/>
      <c r="D88" s="43"/>
      <c r="E88" s="43"/>
      <c r="F88" s="43"/>
      <c r="G88" s="43"/>
      <c r="H88" s="45" t="str">
        <f t="shared" si="2"/>
        <v/>
      </c>
    </row>
    <row r="89" spans="2:8" ht="21" customHeight="1" x14ac:dyDescent="0.25">
      <c r="B89" s="43"/>
      <c r="C89" s="43"/>
      <c r="D89" s="43"/>
      <c r="E89" s="43"/>
      <c r="F89" s="43"/>
      <c r="G89" s="43"/>
      <c r="H89" s="45" t="str">
        <f t="shared" si="2"/>
        <v/>
      </c>
    </row>
    <row r="90" spans="2:8" ht="21" customHeight="1" x14ac:dyDescent="0.25">
      <c r="B90" s="43"/>
      <c r="C90" s="43"/>
      <c r="D90" s="43"/>
      <c r="E90" s="43"/>
      <c r="F90" s="43"/>
      <c r="G90" s="43"/>
      <c r="H90" s="45" t="str">
        <f t="shared" si="2"/>
        <v/>
      </c>
    </row>
    <row r="91" spans="2:8" ht="21" customHeight="1" x14ac:dyDescent="0.25">
      <c r="B91" s="43"/>
      <c r="C91" s="43"/>
      <c r="D91" s="43"/>
      <c r="E91" s="43"/>
      <c r="F91" s="43"/>
      <c r="G91" s="43"/>
      <c r="H91" s="45" t="str">
        <f t="shared" si="2"/>
        <v/>
      </c>
    </row>
    <row r="92" spans="2:8" ht="21" customHeight="1" x14ac:dyDescent="0.25">
      <c r="B92" s="43"/>
      <c r="C92" s="43"/>
      <c r="D92" s="43"/>
      <c r="E92" s="43"/>
      <c r="F92" s="43"/>
      <c r="G92" s="43"/>
      <c r="H92" s="45" t="str">
        <f t="shared" si="2"/>
        <v/>
      </c>
    </row>
    <row r="93" spans="2:8" ht="21" customHeight="1" x14ac:dyDescent="0.25">
      <c r="B93" s="43"/>
      <c r="C93" s="43"/>
      <c r="D93" s="43"/>
      <c r="E93" s="43"/>
      <c r="F93" s="43"/>
      <c r="G93" s="43"/>
      <c r="H93" s="45" t="str">
        <f t="shared" si="2"/>
        <v/>
      </c>
    </row>
    <row r="94" spans="2:8" ht="21" customHeight="1" x14ac:dyDescent="0.25">
      <c r="B94" s="43"/>
      <c r="C94" s="43"/>
      <c r="D94" s="43"/>
      <c r="E94" s="43"/>
      <c r="F94" s="43"/>
      <c r="G94" s="43"/>
      <c r="H94" s="45" t="str">
        <f t="shared" si="2"/>
        <v/>
      </c>
    </row>
    <row r="95" spans="2:8" ht="21" customHeight="1" x14ac:dyDescent="0.25">
      <c r="B95" s="43"/>
      <c r="C95" s="43"/>
      <c r="D95" s="43"/>
      <c r="E95" s="43"/>
      <c r="F95" s="43"/>
      <c r="G95" s="43"/>
      <c r="H95" s="45" t="str">
        <f t="shared" si="2"/>
        <v/>
      </c>
    </row>
    <row r="96" spans="2:8" ht="21" customHeight="1" x14ac:dyDescent="0.25">
      <c r="B96" s="43"/>
      <c r="C96" s="43"/>
      <c r="D96" s="43"/>
      <c r="E96" s="43"/>
      <c r="F96" s="43"/>
      <c r="G96" s="43"/>
      <c r="H96" s="45" t="str">
        <f t="shared" si="2"/>
        <v/>
      </c>
    </row>
    <row r="97" spans="2:8" ht="21" customHeight="1" x14ac:dyDescent="0.25">
      <c r="B97" s="43"/>
      <c r="C97" s="43"/>
      <c r="D97" s="43"/>
      <c r="E97" s="43"/>
      <c r="F97" s="43"/>
      <c r="G97" s="43"/>
      <c r="H97" s="45" t="str">
        <f t="shared" si="2"/>
        <v/>
      </c>
    </row>
    <row r="98" spans="2:8" ht="21" customHeight="1" x14ac:dyDescent="0.25">
      <c r="B98" s="43"/>
      <c r="C98" s="43"/>
      <c r="D98" s="43"/>
      <c r="E98" s="43"/>
      <c r="F98" s="43"/>
      <c r="G98" s="43"/>
      <c r="H98" s="45" t="str">
        <f t="shared" si="2"/>
        <v/>
      </c>
    </row>
    <row r="99" spans="2:8" ht="21" customHeight="1" x14ac:dyDescent="0.25">
      <c r="B99" s="43"/>
      <c r="C99" s="43"/>
      <c r="D99" s="43"/>
      <c r="E99" s="43"/>
      <c r="F99" s="43"/>
      <c r="G99" s="43"/>
      <c r="H99" s="45" t="str">
        <f t="shared" si="2"/>
        <v/>
      </c>
    </row>
    <row r="100" spans="2:8" ht="21" customHeight="1" x14ac:dyDescent="0.25">
      <c r="B100" s="43"/>
      <c r="C100" s="43"/>
      <c r="D100" s="43"/>
      <c r="E100" s="43"/>
      <c r="F100" s="43"/>
      <c r="G100" s="43"/>
      <c r="H100" s="45" t="str">
        <f t="shared" si="2"/>
        <v/>
      </c>
    </row>
    <row r="101" spans="2:8" ht="21" customHeight="1" x14ac:dyDescent="0.25">
      <c r="B101" s="43"/>
      <c r="C101" s="43"/>
      <c r="D101" s="43"/>
      <c r="E101" s="43"/>
      <c r="F101" s="43"/>
      <c r="G101" s="43"/>
      <c r="H101" s="45" t="str">
        <f t="shared" si="2"/>
        <v/>
      </c>
    </row>
    <row r="102" spans="2:8" ht="21" customHeight="1" x14ac:dyDescent="0.25">
      <c r="B102" s="43"/>
      <c r="C102" s="43"/>
      <c r="D102" s="43"/>
      <c r="E102" s="43"/>
      <c r="F102" s="43"/>
      <c r="G102" s="43"/>
      <c r="H102" s="45" t="str">
        <f t="shared" si="2"/>
        <v/>
      </c>
    </row>
    <row r="103" spans="2:8" ht="21" customHeight="1" x14ac:dyDescent="0.25">
      <c r="B103" s="43"/>
      <c r="C103" s="43"/>
      <c r="D103" s="43"/>
      <c r="E103" s="43"/>
      <c r="F103" s="43"/>
      <c r="G103" s="43"/>
      <c r="H103" s="45" t="str">
        <f t="shared" si="2"/>
        <v/>
      </c>
    </row>
    <row r="104" spans="2:8" ht="21" customHeight="1" x14ac:dyDescent="0.25">
      <c r="B104" s="43"/>
      <c r="C104" s="43"/>
      <c r="D104" s="43"/>
      <c r="E104" s="43"/>
      <c r="F104" s="43"/>
      <c r="G104" s="43"/>
      <c r="H104" s="45" t="str">
        <f t="shared" si="2"/>
        <v/>
      </c>
    </row>
    <row r="105" spans="2:8" ht="21" customHeight="1" x14ac:dyDescent="0.25">
      <c r="B105" s="43"/>
      <c r="C105" s="43"/>
      <c r="D105" s="43"/>
      <c r="E105" s="43"/>
      <c r="F105" s="43"/>
      <c r="G105" s="43"/>
      <c r="H105" s="45" t="str">
        <f t="shared" ref="H105:H136" si="3">IF(B105="","",IF(COUNTIF($B$9:$B$158,B105)&gt;1,"⚠ Nom en double",IF(AND(C105&lt;&gt;"",ISERROR(FIND("@",C105))),"⚠ Email invalide",IF(AND(C105&lt;&gt;"",COUNTIF($C$9:$C$158,C105)&gt;1),"⚠ Email en double","✓"))))</f>
        <v/>
      </c>
    </row>
    <row r="106" spans="2:8" ht="21" customHeight="1" x14ac:dyDescent="0.25">
      <c r="B106" s="43"/>
      <c r="C106" s="43"/>
      <c r="D106" s="43"/>
      <c r="E106" s="43"/>
      <c r="F106" s="43"/>
      <c r="G106" s="43"/>
      <c r="H106" s="45" t="str">
        <f t="shared" si="3"/>
        <v/>
      </c>
    </row>
    <row r="107" spans="2:8" ht="21" customHeight="1" x14ac:dyDescent="0.25">
      <c r="B107" s="43"/>
      <c r="C107" s="43"/>
      <c r="D107" s="43"/>
      <c r="E107" s="43"/>
      <c r="F107" s="43"/>
      <c r="G107" s="43"/>
      <c r="H107" s="45" t="str">
        <f t="shared" si="3"/>
        <v/>
      </c>
    </row>
    <row r="108" spans="2:8" ht="21" customHeight="1" x14ac:dyDescent="0.25">
      <c r="B108" s="43"/>
      <c r="C108" s="43"/>
      <c r="D108" s="43"/>
      <c r="E108" s="43"/>
      <c r="F108" s="43"/>
      <c r="G108" s="43"/>
      <c r="H108" s="45" t="str">
        <f t="shared" si="3"/>
        <v/>
      </c>
    </row>
    <row r="109" spans="2:8" ht="21" customHeight="1" x14ac:dyDescent="0.25">
      <c r="B109" s="43"/>
      <c r="C109" s="43"/>
      <c r="D109" s="43"/>
      <c r="E109" s="43"/>
      <c r="F109" s="43"/>
      <c r="G109" s="43"/>
      <c r="H109" s="45" t="str">
        <f t="shared" si="3"/>
        <v/>
      </c>
    </row>
    <row r="110" spans="2:8" ht="21" customHeight="1" x14ac:dyDescent="0.25">
      <c r="B110" s="43"/>
      <c r="C110" s="43"/>
      <c r="D110" s="43"/>
      <c r="E110" s="43"/>
      <c r="F110" s="43"/>
      <c r="G110" s="43"/>
      <c r="H110" s="45" t="str">
        <f t="shared" si="3"/>
        <v/>
      </c>
    </row>
    <row r="111" spans="2:8" ht="21" customHeight="1" x14ac:dyDescent="0.25">
      <c r="B111" s="43"/>
      <c r="C111" s="43"/>
      <c r="D111" s="43"/>
      <c r="E111" s="43"/>
      <c r="F111" s="43"/>
      <c r="G111" s="43"/>
      <c r="H111" s="45" t="str">
        <f t="shared" si="3"/>
        <v/>
      </c>
    </row>
    <row r="112" spans="2:8" ht="21" customHeight="1" x14ac:dyDescent="0.25">
      <c r="B112" s="43"/>
      <c r="C112" s="43"/>
      <c r="D112" s="43"/>
      <c r="E112" s="43"/>
      <c r="F112" s="43"/>
      <c r="G112" s="43"/>
      <c r="H112" s="45" t="str">
        <f t="shared" si="3"/>
        <v/>
      </c>
    </row>
    <row r="113" spans="2:8" ht="21" customHeight="1" x14ac:dyDescent="0.25">
      <c r="B113" s="43"/>
      <c r="C113" s="43"/>
      <c r="D113" s="43"/>
      <c r="E113" s="43"/>
      <c r="F113" s="43"/>
      <c r="G113" s="43"/>
      <c r="H113" s="45" t="str">
        <f t="shared" si="3"/>
        <v/>
      </c>
    </row>
    <row r="114" spans="2:8" ht="21" customHeight="1" x14ac:dyDescent="0.25">
      <c r="B114" s="43"/>
      <c r="C114" s="43"/>
      <c r="D114" s="43"/>
      <c r="E114" s="43"/>
      <c r="F114" s="43"/>
      <c r="G114" s="43"/>
      <c r="H114" s="45" t="str">
        <f t="shared" si="3"/>
        <v/>
      </c>
    </row>
    <row r="115" spans="2:8" ht="21" customHeight="1" x14ac:dyDescent="0.25">
      <c r="B115" s="43"/>
      <c r="C115" s="43"/>
      <c r="D115" s="43"/>
      <c r="E115" s="43"/>
      <c r="F115" s="43"/>
      <c r="G115" s="43"/>
      <c r="H115" s="45" t="str">
        <f t="shared" si="3"/>
        <v/>
      </c>
    </row>
    <row r="116" spans="2:8" ht="21" customHeight="1" x14ac:dyDescent="0.25">
      <c r="B116" s="43"/>
      <c r="C116" s="43"/>
      <c r="D116" s="43"/>
      <c r="E116" s="43"/>
      <c r="F116" s="43"/>
      <c r="G116" s="43"/>
      <c r="H116" s="45" t="str">
        <f t="shared" si="3"/>
        <v/>
      </c>
    </row>
    <row r="117" spans="2:8" ht="21" customHeight="1" x14ac:dyDescent="0.25">
      <c r="B117" s="43"/>
      <c r="C117" s="43"/>
      <c r="D117" s="43"/>
      <c r="E117" s="43"/>
      <c r="F117" s="43"/>
      <c r="G117" s="43"/>
      <c r="H117" s="45" t="str">
        <f t="shared" si="3"/>
        <v/>
      </c>
    </row>
    <row r="118" spans="2:8" ht="21" customHeight="1" x14ac:dyDescent="0.25">
      <c r="B118" s="43"/>
      <c r="C118" s="43"/>
      <c r="D118" s="43"/>
      <c r="E118" s="43"/>
      <c r="F118" s="43"/>
      <c r="G118" s="43"/>
      <c r="H118" s="45" t="str">
        <f t="shared" si="3"/>
        <v/>
      </c>
    </row>
    <row r="119" spans="2:8" ht="21" customHeight="1" x14ac:dyDescent="0.25">
      <c r="B119" s="43"/>
      <c r="C119" s="43"/>
      <c r="D119" s="43"/>
      <c r="E119" s="43"/>
      <c r="F119" s="43"/>
      <c r="G119" s="43"/>
      <c r="H119" s="45" t="str">
        <f t="shared" si="3"/>
        <v/>
      </c>
    </row>
    <row r="120" spans="2:8" ht="21" customHeight="1" x14ac:dyDescent="0.25">
      <c r="B120" s="43"/>
      <c r="C120" s="43"/>
      <c r="D120" s="43"/>
      <c r="E120" s="43"/>
      <c r="F120" s="43"/>
      <c r="G120" s="43"/>
      <c r="H120" s="45" t="str">
        <f t="shared" si="3"/>
        <v/>
      </c>
    </row>
    <row r="121" spans="2:8" ht="21" customHeight="1" x14ac:dyDescent="0.25">
      <c r="B121" s="43"/>
      <c r="C121" s="43"/>
      <c r="D121" s="43"/>
      <c r="E121" s="43"/>
      <c r="F121" s="43"/>
      <c r="G121" s="43"/>
      <c r="H121" s="45" t="str">
        <f t="shared" si="3"/>
        <v/>
      </c>
    </row>
    <row r="122" spans="2:8" ht="21" customHeight="1" x14ac:dyDescent="0.25">
      <c r="B122" s="43"/>
      <c r="C122" s="43"/>
      <c r="D122" s="43"/>
      <c r="E122" s="43"/>
      <c r="F122" s="43"/>
      <c r="G122" s="43"/>
      <c r="H122" s="45" t="str">
        <f t="shared" si="3"/>
        <v/>
      </c>
    </row>
    <row r="123" spans="2:8" ht="21" customHeight="1" x14ac:dyDescent="0.25">
      <c r="B123" s="43"/>
      <c r="C123" s="43"/>
      <c r="D123" s="43"/>
      <c r="E123" s="43"/>
      <c r="F123" s="43"/>
      <c r="G123" s="43"/>
      <c r="H123" s="45" t="str">
        <f t="shared" si="3"/>
        <v/>
      </c>
    </row>
    <row r="124" spans="2:8" ht="21" customHeight="1" x14ac:dyDescent="0.25">
      <c r="B124" s="43"/>
      <c r="C124" s="43"/>
      <c r="D124" s="43"/>
      <c r="E124" s="43"/>
      <c r="F124" s="43"/>
      <c r="G124" s="43"/>
      <c r="H124" s="45" t="str">
        <f t="shared" si="3"/>
        <v/>
      </c>
    </row>
    <row r="125" spans="2:8" ht="21" customHeight="1" x14ac:dyDescent="0.25">
      <c r="B125" s="43"/>
      <c r="C125" s="43"/>
      <c r="D125" s="43"/>
      <c r="E125" s="43"/>
      <c r="F125" s="43"/>
      <c r="G125" s="43"/>
      <c r="H125" s="45" t="str">
        <f t="shared" si="3"/>
        <v/>
      </c>
    </row>
    <row r="126" spans="2:8" ht="21" customHeight="1" x14ac:dyDescent="0.25">
      <c r="B126" s="43"/>
      <c r="C126" s="43"/>
      <c r="D126" s="43"/>
      <c r="E126" s="43"/>
      <c r="F126" s="43"/>
      <c r="G126" s="43"/>
      <c r="H126" s="45" t="str">
        <f t="shared" si="3"/>
        <v/>
      </c>
    </row>
    <row r="127" spans="2:8" ht="21" customHeight="1" x14ac:dyDescent="0.25">
      <c r="B127" s="43"/>
      <c r="C127" s="43"/>
      <c r="D127" s="43"/>
      <c r="E127" s="43"/>
      <c r="F127" s="43"/>
      <c r="G127" s="43"/>
      <c r="H127" s="45" t="str">
        <f t="shared" si="3"/>
        <v/>
      </c>
    </row>
    <row r="128" spans="2:8" ht="21" customHeight="1" x14ac:dyDescent="0.25">
      <c r="B128" s="43"/>
      <c r="C128" s="43"/>
      <c r="D128" s="43"/>
      <c r="E128" s="43"/>
      <c r="F128" s="43"/>
      <c r="G128" s="43"/>
      <c r="H128" s="45" t="str">
        <f t="shared" si="3"/>
        <v/>
      </c>
    </row>
    <row r="129" spans="2:8" ht="21" customHeight="1" x14ac:dyDescent="0.25">
      <c r="B129" s="43"/>
      <c r="C129" s="43"/>
      <c r="D129" s="43"/>
      <c r="E129" s="43"/>
      <c r="F129" s="43"/>
      <c r="G129" s="43"/>
      <c r="H129" s="45" t="str">
        <f t="shared" si="3"/>
        <v/>
      </c>
    </row>
    <row r="130" spans="2:8" ht="21" customHeight="1" x14ac:dyDescent="0.25">
      <c r="B130" s="43"/>
      <c r="C130" s="43"/>
      <c r="D130" s="43"/>
      <c r="E130" s="43"/>
      <c r="F130" s="43"/>
      <c r="G130" s="43"/>
      <c r="H130" s="45" t="str">
        <f t="shared" si="3"/>
        <v/>
      </c>
    </row>
    <row r="131" spans="2:8" ht="21" customHeight="1" x14ac:dyDescent="0.25">
      <c r="B131" s="43"/>
      <c r="C131" s="43"/>
      <c r="D131" s="43"/>
      <c r="E131" s="43"/>
      <c r="F131" s="43"/>
      <c r="G131" s="43"/>
      <c r="H131" s="45" t="str">
        <f t="shared" si="3"/>
        <v/>
      </c>
    </row>
    <row r="132" spans="2:8" ht="21" customHeight="1" x14ac:dyDescent="0.25">
      <c r="B132" s="43"/>
      <c r="C132" s="43"/>
      <c r="D132" s="43"/>
      <c r="E132" s="43"/>
      <c r="F132" s="43"/>
      <c r="G132" s="43"/>
      <c r="H132" s="45" t="str">
        <f t="shared" si="3"/>
        <v/>
      </c>
    </row>
    <row r="133" spans="2:8" ht="21" customHeight="1" x14ac:dyDescent="0.25">
      <c r="B133" s="43"/>
      <c r="C133" s="43"/>
      <c r="D133" s="43"/>
      <c r="E133" s="43"/>
      <c r="F133" s="43"/>
      <c r="G133" s="43"/>
      <c r="H133" s="45" t="str">
        <f t="shared" si="3"/>
        <v/>
      </c>
    </row>
    <row r="134" spans="2:8" ht="21" customHeight="1" x14ac:dyDescent="0.25">
      <c r="B134" s="43"/>
      <c r="C134" s="43"/>
      <c r="D134" s="43"/>
      <c r="E134" s="43"/>
      <c r="F134" s="43"/>
      <c r="G134" s="43"/>
      <c r="H134" s="45" t="str">
        <f t="shared" si="3"/>
        <v/>
      </c>
    </row>
    <row r="135" spans="2:8" ht="21" customHeight="1" x14ac:dyDescent="0.25">
      <c r="B135" s="43"/>
      <c r="C135" s="43"/>
      <c r="D135" s="43"/>
      <c r="E135" s="43"/>
      <c r="F135" s="43"/>
      <c r="G135" s="43"/>
      <c r="H135" s="45" t="str">
        <f t="shared" si="3"/>
        <v/>
      </c>
    </row>
    <row r="136" spans="2:8" ht="21" customHeight="1" x14ac:dyDescent="0.25">
      <c r="B136" s="43"/>
      <c r="C136" s="43"/>
      <c r="D136" s="43"/>
      <c r="E136" s="43"/>
      <c r="F136" s="43"/>
      <c r="G136" s="43"/>
      <c r="H136" s="45" t="str">
        <f t="shared" si="3"/>
        <v/>
      </c>
    </row>
    <row r="137" spans="2:8" ht="21" customHeight="1" x14ac:dyDescent="0.25">
      <c r="B137" s="43"/>
      <c r="C137" s="43"/>
      <c r="D137" s="43"/>
      <c r="E137" s="43"/>
      <c r="F137" s="43"/>
      <c r="G137" s="43"/>
      <c r="H137" s="45" t="str">
        <f t="shared" ref="H137:H158" si="4">IF(B137="","",IF(COUNTIF($B$9:$B$158,B137)&gt;1,"⚠ Nom en double",IF(AND(C137&lt;&gt;"",ISERROR(FIND("@",C137))),"⚠ Email invalide",IF(AND(C137&lt;&gt;"",COUNTIF($C$9:$C$158,C137)&gt;1),"⚠ Email en double","✓"))))</f>
        <v/>
      </c>
    </row>
    <row r="138" spans="2:8" ht="21" customHeight="1" x14ac:dyDescent="0.25">
      <c r="B138" s="43"/>
      <c r="C138" s="43"/>
      <c r="D138" s="43"/>
      <c r="E138" s="43"/>
      <c r="F138" s="43"/>
      <c r="G138" s="43"/>
      <c r="H138" s="45" t="str">
        <f t="shared" si="4"/>
        <v/>
      </c>
    </row>
    <row r="139" spans="2:8" ht="21" customHeight="1" x14ac:dyDescent="0.25">
      <c r="B139" s="43"/>
      <c r="C139" s="43"/>
      <c r="D139" s="43"/>
      <c r="E139" s="43"/>
      <c r="F139" s="43"/>
      <c r="G139" s="43"/>
      <c r="H139" s="45" t="str">
        <f t="shared" si="4"/>
        <v/>
      </c>
    </row>
    <row r="140" spans="2:8" ht="21" customHeight="1" x14ac:dyDescent="0.25">
      <c r="B140" s="43"/>
      <c r="C140" s="43"/>
      <c r="D140" s="43"/>
      <c r="E140" s="43"/>
      <c r="F140" s="43"/>
      <c r="G140" s="43"/>
      <c r="H140" s="45" t="str">
        <f t="shared" si="4"/>
        <v/>
      </c>
    </row>
    <row r="141" spans="2:8" ht="21" customHeight="1" x14ac:dyDescent="0.25">
      <c r="B141" s="43"/>
      <c r="C141" s="43"/>
      <c r="D141" s="43"/>
      <c r="E141" s="43"/>
      <c r="F141" s="43"/>
      <c r="G141" s="43"/>
      <c r="H141" s="45" t="str">
        <f t="shared" si="4"/>
        <v/>
      </c>
    </row>
    <row r="142" spans="2:8" ht="21" customHeight="1" x14ac:dyDescent="0.25">
      <c r="B142" s="43"/>
      <c r="C142" s="43"/>
      <c r="D142" s="43"/>
      <c r="E142" s="43"/>
      <c r="F142" s="43"/>
      <c r="G142" s="43"/>
      <c r="H142" s="45" t="str">
        <f t="shared" si="4"/>
        <v/>
      </c>
    </row>
    <row r="143" spans="2:8" ht="21" customHeight="1" x14ac:dyDescent="0.25">
      <c r="B143" s="43"/>
      <c r="C143" s="43"/>
      <c r="D143" s="43"/>
      <c r="E143" s="43"/>
      <c r="F143" s="43"/>
      <c r="G143" s="43"/>
      <c r="H143" s="45" t="str">
        <f t="shared" si="4"/>
        <v/>
      </c>
    </row>
    <row r="144" spans="2:8" ht="21" customHeight="1" x14ac:dyDescent="0.25">
      <c r="B144" s="43"/>
      <c r="C144" s="43"/>
      <c r="D144" s="43"/>
      <c r="E144" s="43"/>
      <c r="F144" s="43"/>
      <c r="G144" s="43"/>
      <c r="H144" s="45" t="str">
        <f t="shared" si="4"/>
        <v/>
      </c>
    </row>
    <row r="145" spans="2:8" ht="21" customHeight="1" x14ac:dyDescent="0.25">
      <c r="B145" s="43"/>
      <c r="C145" s="43"/>
      <c r="D145" s="43"/>
      <c r="E145" s="43"/>
      <c r="F145" s="43"/>
      <c r="G145" s="43"/>
      <c r="H145" s="45" t="str">
        <f t="shared" si="4"/>
        <v/>
      </c>
    </row>
    <row r="146" spans="2:8" ht="21" customHeight="1" x14ac:dyDescent="0.25">
      <c r="B146" s="43"/>
      <c r="C146" s="43"/>
      <c r="D146" s="43"/>
      <c r="E146" s="43"/>
      <c r="F146" s="43"/>
      <c r="G146" s="43"/>
      <c r="H146" s="45" t="str">
        <f t="shared" si="4"/>
        <v/>
      </c>
    </row>
    <row r="147" spans="2:8" ht="21" customHeight="1" x14ac:dyDescent="0.25">
      <c r="B147" s="43"/>
      <c r="C147" s="43"/>
      <c r="D147" s="43"/>
      <c r="E147" s="43"/>
      <c r="F147" s="43"/>
      <c r="G147" s="43"/>
      <c r="H147" s="45" t="str">
        <f t="shared" si="4"/>
        <v/>
      </c>
    </row>
    <row r="148" spans="2:8" ht="21" customHeight="1" x14ac:dyDescent="0.25">
      <c r="B148" s="43"/>
      <c r="C148" s="43"/>
      <c r="D148" s="43"/>
      <c r="E148" s="43"/>
      <c r="F148" s="43"/>
      <c r="G148" s="43"/>
      <c r="H148" s="45" t="str">
        <f t="shared" si="4"/>
        <v/>
      </c>
    </row>
    <row r="149" spans="2:8" ht="21" customHeight="1" x14ac:dyDescent="0.25">
      <c r="B149" s="43"/>
      <c r="C149" s="43"/>
      <c r="D149" s="43"/>
      <c r="E149" s="43"/>
      <c r="F149" s="43"/>
      <c r="G149" s="43"/>
      <c r="H149" s="45" t="str">
        <f t="shared" si="4"/>
        <v/>
      </c>
    </row>
    <row r="150" spans="2:8" ht="21" customHeight="1" x14ac:dyDescent="0.25">
      <c r="B150" s="43"/>
      <c r="C150" s="43"/>
      <c r="D150" s="43"/>
      <c r="E150" s="43"/>
      <c r="F150" s="43"/>
      <c r="G150" s="43"/>
      <c r="H150" s="45" t="str">
        <f t="shared" si="4"/>
        <v/>
      </c>
    </row>
    <row r="151" spans="2:8" ht="21" customHeight="1" x14ac:dyDescent="0.25">
      <c r="B151" s="43"/>
      <c r="C151" s="43"/>
      <c r="D151" s="43"/>
      <c r="E151" s="43"/>
      <c r="F151" s="43"/>
      <c r="G151" s="43"/>
      <c r="H151" s="45" t="str">
        <f t="shared" si="4"/>
        <v/>
      </c>
    </row>
    <row r="152" spans="2:8" ht="21" customHeight="1" x14ac:dyDescent="0.25">
      <c r="B152" s="43"/>
      <c r="C152" s="43"/>
      <c r="D152" s="43"/>
      <c r="E152" s="43"/>
      <c r="F152" s="43"/>
      <c r="G152" s="43"/>
      <c r="H152" s="45" t="str">
        <f t="shared" si="4"/>
        <v/>
      </c>
    </row>
    <row r="153" spans="2:8" ht="21" customHeight="1" x14ac:dyDescent="0.25">
      <c r="B153" s="43"/>
      <c r="C153" s="43"/>
      <c r="D153" s="43"/>
      <c r="E153" s="43"/>
      <c r="F153" s="43"/>
      <c r="G153" s="43"/>
      <c r="H153" s="45" t="str">
        <f t="shared" si="4"/>
        <v/>
      </c>
    </row>
    <row r="154" spans="2:8" ht="21" customHeight="1" x14ac:dyDescent="0.25">
      <c r="B154" s="43"/>
      <c r="C154" s="43"/>
      <c r="D154" s="43"/>
      <c r="E154" s="43"/>
      <c r="F154" s="43"/>
      <c r="G154" s="43"/>
      <c r="H154" s="45" t="str">
        <f t="shared" si="4"/>
        <v/>
      </c>
    </row>
    <row r="155" spans="2:8" ht="21" customHeight="1" x14ac:dyDescent="0.25">
      <c r="B155" s="43"/>
      <c r="C155" s="43"/>
      <c r="D155" s="43"/>
      <c r="E155" s="43"/>
      <c r="F155" s="43"/>
      <c r="G155" s="43"/>
      <c r="H155" s="45" t="str">
        <f t="shared" si="4"/>
        <v/>
      </c>
    </row>
    <row r="156" spans="2:8" ht="21" customHeight="1" x14ac:dyDescent="0.25">
      <c r="B156" s="43"/>
      <c r="C156" s="43"/>
      <c r="D156" s="43"/>
      <c r="E156" s="43"/>
      <c r="F156" s="43"/>
      <c r="G156" s="43"/>
      <c r="H156" s="45" t="str">
        <f t="shared" si="4"/>
        <v/>
      </c>
    </row>
    <row r="157" spans="2:8" ht="21" customHeight="1" x14ac:dyDescent="0.25">
      <c r="B157" s="43"/>
      <c r="C157" s="43"/>
      <c r="D157" s="43"/>
      <c r="E157" s="43"/>
      <c r="F157" s="43"/>
      <c r="G157" s="43"/>
      <c r="H157" s="45" t="str">
        <f t="shared" si="4"/>
        <v/>
      </c>
    </row>
    <row r="158" spans="2:8" ht="21" customHeight="1" x14ac:dyDescent="0.25">
      <c r="B158" s="43"/>
      <c r="C158" s="43"/>
      <c r="D158" s="43"/>
      <c r="E158" s="43"/>
      <c r="F158" s="43"/>
      <c r="G158" s="43"/>
      <c r="H158" s="45" t="str">
        <f t="shared" si="4"/>
        <v/>
      </c>
    </row>
  </sheetData>
  <sheetProtection sheet="1" formatColumns="0" formatRows="0" sort="0" autoFilter="0"/>
  <autoFilter ref="B8:H8" xr:uid="{00000000-0009-0000-0000-000005000000}"/>
  <conditionalFormatting sqref="B9:D158">
    <cfRule type="expression" dxfId="55" priority="1">
      <formula>AND(OR($B9&lt;&gt;"",$C9&lt;&gt;"",$D9&lt;&gt;"",$E9&lt;&gt;"",$F9&lt;&gt;"",$G9&lt;&gt;""),B9="")</formula>
    </cfRule>
  </conditionalFormatting>
  <conditionalFormatting sqref="F9:F158">
    <cfRule type="expression" dxfId="54" priority="4">
      <formula>AND(OR($B9&lt;&gt;"",$C9&lt;&gt;"",$D9&lt;&gt;"",$E9&lt;&gt;"",$F9&lt;&gt;"",$G9&lt;&gt;""),F9="")</formula>
    </cfRule>
  </conditionalFormatting>
  <dataValidations count="3">
    <dataValidation type="list" allowBlank="1" showErrorMessage="1" errorTitle="Valeur hors liste" error="Choisissez une valeur dans la liste. Elle se remplit à partir de l’onglet correspondant." sqref="D9:D158" xr:uid="{00000000-0002-0000-0500-000000000000}">
      <formula1>L_Equipes</formula1>
    </dataValidation>
    <dataValidation type="list" allowBlank="1" showErrorMessage="1" errorTitle="Valeur hors liste" error="Choisissez une valeur dans la liste. Elle se remplit à partir de l’onglet correspondant." sqref="F9:F158" xr:uid="{00000000-0002-0000-0500-000002000000}">
      <formula1>L_Permission</formula1>
    </dataValidation>
    <dataValidation type="list" allowBlank="1" showErrorMessage="1" errorTitle="Valeur hors liste" error="Choisissez une valeur dans la liste. Elle se remplit à partir de l’onglet correspondant." sqref="G9:G158" xr:uid="{00000000-0002-0000-0500-000004000000}">
      <formula1>L_OuiNon</formula1>
    </dataValidation>
  </dataValidations>
  <hyperlinks>
    <hyperlink ref="H3" location="#'Complétude'!A1" display="↩  Complétude" xr:uid="{00000000-0004-0000-05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0000000-000E-0000-0500-000005000000}">
            <xm:f>NOT(ISERROR(SEARCH("⚠",H9)))</xm:f>
            <x14:dxf>
              <font>
                <b/>
                <color rgb="FFC2473B"/>
              </font>
            </x14:dxf>
          </x14:cfRule>
          <x14:cfRule type="containsText" priority="5" operator="containsText" id="{00000000-000E-0000-0500-000005000000}">
            <xm:f>NOT(ISERROR(SEARCH("◔",H9)))</xm:f>
            <x14:dxf>
              <font>
                <b/>
                <color rgb="FFB26A12"/>
              </font>
            </x14:dxf>
          </x14:cfRule>
          <xm:sqref>H9:H158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7DD8"/>
    <pageSetUpPr fitToPage="1"/>
  </sheetPr>
  <dimension ref="B1:H20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24" customWidth="1"/>
    <col min="3" max="3" width="30" customWidth="1"/>
    <col min="4" max="4" width="20" customWidth="1"/>
    <col min="5" max="6" width="13" customWidth="1"/>
    <col min="8" max="8" width="22" customWidth="1"/>
  </cols>
  <sheetData>
    <row r="1" spans="2:8" ht="12" customHeight="1" x14ac:dyDescent="0.25"/>
    <row r="2" spans="2:8" ht="33.950000000000003" customHeight="1" x14ac:dyDescent="0.45">
      <c r="B2" s="1" t="s">
        <v>32</v>
      </c>
      <c r="H2" s="35">
        <f>Complétude!$I21</f>
        <v>0</v>
      </c>
    </row>
    <row r="3" spans="2:8" ht="18" customHeight="1" x14ac:dyDescent="0.25">
      <c r="B3" s="2" t="s">
        <v>218</v>
      </c>
      <c r="H3" s="36" t="s">
        <v>195</v>
      </c>
    </row>
    <row r="4" spans="2:8" ht="18" customHeight="1" x14ac:dyDescent="0.25">
      <c r="B4" t="s">
        <v>219</v>
      </c>
    </row>
    <row r="5" spans="2:8" ht="15.95" customHeight="1" x14ac:dyDescent="0.25">
      <c r="B5" s="37" t="s">
        <v>220</v>
      </c>
    </row>
    <row r="6" spans="2:8" ht="9.9499999999999993" customHeight="1" x14ac:dyDescent="0.25"/>
    <row r="7" spans="2:8" ht="15" customHeight="1" x14ac:dyDescent="0.25">
      <c r="B7" s="38" t="s">
        <v>212</v>
      </c>
      <c r="C7" s="38" t="s">
        <v>212</v>
      </c>
      <c r="D7" s="40" t="s">
        <v>200</v>
      </c>
      <c r="E7" s="38" t="s">
        <v>198</v>
      </c>
      <c r="F7" s="39" t="s">
        <v>199</v>
      </c>
      <c r="G7" s="40" t="s">
        <v>200</v>
      </c>
      <c r="H7" s="40" t="s">
        <v>201</v>
      </c>
    </row>
    <row r="8" spans="2:8" ht="26.1" customHeight="1" x14ac:dyDescent="0.25">
      <c r="B8" s="41" t="s">
        <v>221</v>
      </c>
      <c r="C8" s="41" t="s">
        <v>222</v>
      </c>
      <c r="D8" s="42" t="s">
        <v>82</v>
      </c>
      <c r="E8" s="41" t="s">
        <v>223</v>
      </c>
      <c r="F8" s="41" t="s">
        <v>224</v>
      </c>
      <c r="G8" s="42" t="s">
        <v>225</v>
      </c>
      <c r="H8" s="42" t="s">
        <v>153</v>
      </c>
    </row>
    <row r="9" spans="2:8" ht="21" customHeight="1" x14ac:dyDescent="0.25">
      <c r="B9" s="43"/>
      <c r="C9" s="43"/>
      <c r="D9" s="44" t="str">
        <f>IF(B9="","",IFERROR(INDEX('03 Personnes'!$D$9:$D$158,MATCH(B9,'03 Personnes'!$B$9:$B$158,0)),"—"))</f>
        <v/>
      </c>
      <c r="E9" s="46"/>
      <c r="F9" s="46"/>
      <c r="G9" s="44" t="str">
        <f t="shared" ref="G9:G40" ca="1" si="0">IF(B9="","",IF(OR(F9="",F9&gt;=TODAY()),"Oui","Non"))</f>
        <v/>
      </c>
      <c r="H9" s="45" t="str">
        <f t="shared" ref="H9:H40" si="1">IF(B9="","",IF(AND(E9&lt;&gt;"",F9&lt;&gt;"",F9&lt;E9),"⚠ Fin avant début",IF(COUNTIFS($B$9:$B$208,B9,$C$9:$C$208,C9,$E$9:$E$208,E9)&gt;1,"⚠ Doublon","✓")))</f>
        <v/>
      </c>
    </row>
    <row r="10" spans="2:8" ht="21" customHeight="1" x14ac:dyDescent="0.25">
      <c r="B10" s="43"/>
      <c r="C10" s="43"/>
      <c r="D10" s="44" t="str">
        <f>IF(B10="","",IFERROR(INDEX('03 Personnes'!$D$9:$D$158,MATCH(B10,'03 Personnes'!$B$9:$B$158,0)),"—"))</f>
        <v/>
      </c>
      <c r="E10" s="46"/>
      <c r="F10" s="46"/>
      <c r="G10" s="44" t="str">
        <f t="shared" ca="1" si="0"/>
        <v/>
      </c>
      <c r="H10" s="45" t="str">
        <f t="shared" si="1"/>
        <v/>
      </c>
    </row>
    <row r="11" spans="2:8" ht="21" customHeight="1" x14ac:dyDescent="0.25">
      <c r="B11" s="43"/>
      <c r="C11" s="43"/>
      <c r="D11" s="44" t="str">
        <f>IF(B11="","",IFERROR(INDEX('03 Personnes'!$D$9:$D$158,MATCH(B11,'03 Personnes'!$B$9:$B$158,0)),"—"))</f>
        <v/>
      </c>
      <c r="E11" s="46"/>
      <c r="F11" s="46"/>
      <c r="G11" s="44" t="str">
        <f t="shared" ca="1" si="0"/>
        <v/>
      </c>
      <c r="H11" s="45" t="str">
        <f t="shared" si="1"/>
        <v/>
      </c>
    </row>
    <row r="12" spans="2:8" ht="21" customHeight="1" x14ac:dyDescent="0.25">
      <c r="B12" s="43"/>
      <c r="C12" s="43"/>
      <c r="D12" s="44" t="str">
        <f>IF(B12="","",IFERROR(INDEX('03 Personnes'!$D$9:$D$158,MATCH(B12,'03 Personnes'!$B$9:$B$158,0)),"—"))</f>
        <v/>
      </c>
      <c r="E12" s="46"/>
      <c r="F12" s="46"/>
      <c r="G12" s="44" t="str">
        <f t="shared" ca="1" si="0"/>
        <v/>
      </c>
      <c r="H12" s="45" t="str">
        <f t="shared" si="1"/>
        <v/>
      </c>
    </row>
    <row r="13" spans="2:8" ht="21" customHeight="1" x14ac:dyDescent="0.25">
      <c r="B13" s="43"/>
      <c r="C13" s="43"/>
      <c r="D13" s="44" t="str">
        <f>IF(B13="","",IFERROR(INDEX('03 Personnes'!$D$9:$D$158,MATCH(B13,'03 Personnes'!$B$9:$B$158,0)),"—"))</f>
        <v/>
      </c>
      <c r="E13" s="46"/>
      <c r="F13" s="46"/>
      <c r="G13" s="44" t="str">
        <f t="shared" ca="1" si="0"/>
        <v/>
      </c>
      <c r="H13" s="45" t="str">
        <f t="shared" si="1"/>
        <v/>
      </c>
    </row>
    <row r="14" spans="2:8" ht="21" customHeight="1" x14ac:dyDescent="0.25">
      <c r="B14" s="43"/>
      <c r="C14" s="43"/>
      <c r="D14" s="44" t="str">
        <f>IF(B14="","",IFERROR(INDEX('03 Personnes'!$D$9:$D$158,MATCH(B14,'03 Personnes'!$B$9:$B$158,0)),"—"))</f>
        <v/>
      </c>
      <c r="E14" s="46"/>
      <c r="F14" s="46"/>
      <c r="G14" s="44" t="str">
        <f t="shared" ca="1" si="0"/>
        <v/>
      </c>
      <c r="H14" s="45" t="str">
        <f t="shared" si="1"/>
        <v/>
      </c>
    </row>
    <row r="15" spans="2:8" ht="21" customHeight="1" x14ac:dyDescent="0.25">
      <c r="B15" s="43"/>
      <c r="C15" s="43"/>
      <c r="D15" s="44" t="str">
        <f>IF(B15="","",IFERROR(INDEX('03 Personnes'!$D$9:$D$158,MATCH(B15,'03 Personnes'!$B$9:$B$158,0)),"—"))</f>
        <v/>
      </c>
      <c r="E15" s="46"/>
      <c r="F15" s="46"/>
      <c r="G15" s="44" t="str">
        <f t="shared" ca="1" si="0"/>
        <v/>
      </c>
      <c r="H15" s="45" t="str">
        <f t="shared" si="1"/>
        <v/>
      </c>
    </row>
    <row r="16" spans="2:8" ht="21" customHeight="1" x14ac:dyDescent="0.25">
      <c r="B16" s="43"/>
      <c r="C16" s="43"/>
      <c r="D16" s="44" t="str">
        <f>IF(B16="","",IFERROR(INDEX('03 Personnes'!$D$9:$D$158,MATCH(B16,'03 Personnes'!$B$9:$B$158,0)),"—"))</f>
        <v/>
      </c>
      <c r="E16" s="46"/>
      <c r="F16" s="46"/>
      <c r="G16" s="44" t="str">
        <f t="shared" ca="1" si="0"/>
        <v/>
      </c>
      <c r="H16" s="45" t="str">
        <f t="shared" si="1"/>
        <v/>
      </c>
    </row>
    <row r="17" spans="2:8" ht="21" customHeight="1" x14ac:dyDescent="0.25">
      <c r="B17" s="43"/>
      <c r="C17" s="43"/>
      <c r="D17" s="44" t="str">
        <f>IF(B17="","",IFERROR(INDEX('03 Personnes'!$D$9:$D$158,MATCH(B17,'03 Personnes'!$B$9:$B$158,0)),"—"))</f>
        <v/>
      </c>
      <c r="E17" s="46"/>
      <c r="F17" s="46"/>
      <c r="G17" s="44" t="str">
        <f t="shared" ca="1" si="0"/>
        <v/>
      </c>
      <c r="H17" s="45" t="str">
        <f t="shared" si="1"/>
        <v/>
      </c>
    </row>
    <row r="18" spans="2:8" ht="21" customHeight="1" x14ac:dyDescent="0.25">
      <c r="B18" s="43"/>
      <c r="C18" s="43"/>
      <c r="D18" s="44" t="str">
        <f>IF(B18="","",IFERROR(INDEX('03 Personnes'!$D$9:$D$158,MATCH(B18,'03 Personnes'!$B$9:$B$158,0)),"—"))</f>
        <v/>
      </c>
      <c r="E18" s="46"/>
      <c r="F18" s="46"/>
      <c r="G18" s="44" t="str">
        <f t="shared" ca="1" si="0"/>
        <v/>
      </c>
      <c r="H18" s="45" t="str">
        <f t="shared" si="1"/>
        <v/>
      </c>
    </row>
    <row r="19" spans="2:8" ht="21" customHeight="1" x14ac:dyDescent="0.25">
      <c r="B19" s="43"/>
      <c r="C19" s="43"/>
      <c r="D19" s="44" t="str">
        <f>IF(B19="","",IFERROR(INDEX('03 Personnes'!$D$9:$D$158,MATCH(B19,'03 Personnes'!$B$9:$B$158,0)),"—"))</f>
        <v/>
      </c>
      <c r="E19" s="46"/>
      <c r="F19" s="46"/>
      <c r="G19" s="44" t="str">
        <f t="shared" ca="1" si="0"/>
        <v/>
      </c>
      <c r="H19" s="45" t="str">
        <f t="shared" si="1"/>
        <v/>
      </c>
    </row>
    <row r="20" spans="2:8" ht="21" customHeight="1" x14ac:dyDescent="0.25">
      <c r="B20" s="43"/>
      <c r="C20" s="43"/>
      <c r="D20" s="44" t="str">
        <f>IF(B20="","",IFERROR(INDEX('03 Personnes'!$D$9:$D$158,MATCH(B20,'03 Personnes'!$B$9:$B$158,0)),"—"))</f>
        <v/>
      </c>
      <c r="E20" s="46"/>
      <c r="F20" s="46"/>
      <c r="G20" s="44" t="str">
        <f t="shared" ca="1" si="0"/>
        <v/>
      </c>
      <c r="H20" s="45" t="str">
        <f t="shared" si="1"/>
        <v/>
      </c>
    </row>
    <row r="21" spans="2:8" ht="21" customHeight="1" x14ac:dyDescent="0.25">
      <c r="B21" s="43"/>
      <c r="C21" s="43"/>
      <c r="D21" s="44" t="str">
        <f>IF(B21="","",IFERROR(INDEX('03 Personnes'!$D$9:$D$158,MATCH(B21,'03 Personnes'!$B$9:$B$158,0)),"—"))</f>
        <v/>
      </c>
      <c r="E21" s="46"/>
      <c r="F21" s="46"/>
      <c r="G21" s="44" t="str">
        <f t="shared" ca="1" si="0"/>
        <v/>
      </c>
      <c r="H21" s="45" t="str">
        <f t="shared" si="1"/>
        <v/>
      </c>
    </row>
    <row r="22" spans="2:8" ht="21" customHeight="1" x14ac:dyDescent="0.25">
      <c r="B22" s="43"/>
      <c r="C22" s="43"/>
      <c r="D22" s="44" t="str">
        <f>IF(B22="","",IFERROR(INDEX('03 Personnes'!$D$9:$D$158,MATCH(B22,'03 Personnes'!$B$9:$B$158,0)),"—"))</f>
        <v/>
      </c>
      <c r="E22" s="46"/>
      <c r="F22" s="46"/>
      <c r="G22" s="44" t="str">
        <f t="shared" ca="1" si="0"/>
        <v/>
      </c>
      <c r="H22" s="45" t="str">
        <f t="shared" si="1"/>
        <v/>
      </c>
    </row>
    <row r="23" spans="2:8" ht="21" customHeight="1" x14ac:dyDescent="0.25">
      <c r="B23" s="43"/>
      <c r="C23" s="43"/>
      <c r="D23" s="44" t="str">
        <f>IF(B23="","",IFERROR(INDEX('03 Personnes'!$D$9:$D$158,MATCH(B23,'03 Personnes'!$B$9:$B$158,0)),"—"))</f>
        <v/>
      </c>
      <c r="E23" s="46"/>
      <c r="F23" s="46"/>
      <c r="G23" s="44" t="str">
        <f t="shared" ca="1" si="0"/>
        <v/>
      </c>
      <c r="H23" s="45" t="str">
        <f t="shared" si="1"/>
        <v/>
      </c>
    </row>
    <row r="24" spans="2:8" ht="21" customHeight="1" x14ac:dyDescent="0.25">
      <c r="B24" s="43"/>
      <c r="C24" s="43"/>
      <c r="D24" s="44" t="str">
        <f>IF(B24="","",IFERROR(INDEX('03 Personnes'!$D$9:$D$158,MATCH(B24,'03 Personnes'!$B$9:$B$158,0)),"—"))</f>
        <v/>
      </c>
      <c r="E24" s="46"/>
      <c r="F24" s="46"/>
      <c r="G24" s="44" t="str">
        <f t="shared" ca="1" si="0"/>
        <v/>
      </c>
      <c r="H24" s="45" t="str">
        <f t="shared" si="1"/>
        <v/>
      </c>
    </row>
    <row r="25" spans="2:8" ht="21" customHeight="1" x14ac:dyDescent="0.25">
      <c r="B25" s="43"/>
      <c r="C25" s="43"/>
      <c r="D25" s="44" t="str">
        <f>IF(B25="","",IFERROR(INDEX('03 Personnes'!$D$9:$D$158,MATCH(B25,'03 Personnes'!$B$9:$B$158,0)),"—"))</f>
        <v/>
      </c>
      <c r="E25" s="46"/>
      <c r="F25" s="46"/>
      <c r="G25" s="44" t="str">
        <f t="shared" ca="1" si="0"/>
        <v/>
      </c>
      <c r="H25" s="45" t="str">
        <f t="shared" si="1"/>
        <v/>
      </c>
    </row>
    <row r="26" spans="2:8" ht="21" customHeight="1" x14ac:dyDescent="0.25">
      <c r="B26" s="43"/>
      <c r="C26" s="43"/>
      <c r="D26" s="44" t="str">
        <f>IF(B26="","",IFERROR(INDEX('03 Personnes'!$D$9:$D$158,MATCH(B26,'03 Personnes'!$B$9:$B$158,0)),"—"))</f>
        <v/>
      </c>
      <c r="E26" s="46"/>
      <c r="F26" s="46"/>
      <c r="G26" s="44" t="str">
        <f t="shared" ca="1" si="0"/>
        <v/>
      </c>
      <c r="H26" s="45" t="str">
        <f t="shared" si="1"/>
        <v/>
      </c>
    </row>
    <row r="27" spans="2:8" ht="21" customHeight="1" x14ac:dyDescent="0.25">
      <c r="B27" s="43"/>
      <c r="C27" s="43"/>
      <c r="D27" s="44" t="str">
        <f>IF(B27="","",IFERROR(INDEX('03 Personnes'!$D$9:$D$158,MATCH(B27,'03 Personnes'!$B$9:$B$158,0)),"—"))</f>
        <v/>
      </c>
      <c r="E27" s="46"/>
      <c r="F27" s="46"/>
      <c r="G27" s="44" t="str">
        <f t="shared" ca="1" si="0"/>
        <v/>
      </c>
      <c r="H27" s="45" t="str">
        <f t="shared" si="1"/>
        <v/>
      </c>
    </row>
    <row r="28" spans="2:8" ht="21" customHeight="1" x14ac:dyDescent="0.25">
      <c r="B28" s="43"/>
      <c r="C28" s="43"/>
      <c r="D28" s="44" t="str">
        <f>IF(B28="","",IFERROR(INDEX('03 Personnes'!$D$9:$D$158,MATCH(B28,'03 Personnes'!$B$9:$B$158,0)),"—"))</f>
        <v/>
      </c>
      <c r="E28" s="46"/>
      <c r="F28" s="46"/>
      <c r="G28" s="44" t="str">
        <f t="shared" ca="1" si="0"/>
        <v/>
      </c>
      <c r="H28" s="45" t="str">
        <f t="shared" si="1"/>
        <v/>
      </c>
    </row>
    <row r="29" spans="2:8" ht="21" customHeight="1" x14ac:dyDescent="0.25">
      <c r="B29" s="43"/>
      <c r="C29" s="43"/>
      <c r="D29" s="44" t="str">
        <f>IF(B29="","",IFERROR(INDEX('03 Personnes'!$D$9:$D$158,MATCH(B29,'03 Personnes'!$B$9:$B$158,0)),"—"))</f>
        <v/>
      </c>
      <c r="E29" s="46"/>
      <c r="F29" s="46"/>
      <c r="G29" s="44" t="str">
        <f t="shared" ca="1" si="0"/>
        <v/>
      </c>
      <c r="H29" s="45" t="str">
        <f t="shared" si="1"/>
        <v/>
      </c>
    </row>
    <row r="30" spans="2:8" ht="21" customHeight="1" x14ac:dyDescent="0.25">
      <c r="B30" s="43"/>
      <c r="C30" s="43"/>
      <c r="D30" s="44" t="str">
        <f>IF(B30="","",IFERROR(INDEX('03 Personnes'!$D$9:$D$158,MATCH(B30,'03 Personnes'!$B$9:$B$158,0)),"—"))</f>
        <v/>
      </c>
      <c r="E30" s="46"/>
      <c r="F30" s="46"/>
      <c r="G30" s="44" t="str">
        <f t="shared" ca="1" si="0"/>
        <v/>
      </c>
      <c r="H30" s="45" t="str">
        <f t="shared" si="1"/>
        <v/>
      </c>
    </row>
    <row r="31" spans="2:8" ht="21" customHeight="1" x14ac:dyDescent="0.25">
      <c r="B31" s="43"/>
      <c r="C31" s="43"/>
      <c r="D31" s="44" t="str">
        <f>IF(B31="","",IFERROR(INDEX('03 Personnes'!$D$9:$D$158,MATCH(B31,'03 Personnes'!$B$9:$B$158,0)),"—"))</f>
        <v/>
      </c>
      <c r="E31" s="46"/>
      <c r="F31" s="46"/>
      <c r="G31" s="44" t="str">
        <f t="shared" ca="1" si="0"/>
        <v/>
      </c>
      <c r="H31" s="45" t="str">
        <f t="shared" si="1"/>
        <v/>
      </c>
    </row>
    <row r="32" spans="2:8" ht="21" customHeight="1" x14ac:dyDescent="0.25">
      <c r="B32" s="43"/>
      <c r="C32" s="43"/>
      <c r="D32" s="44" t="str">
        <f>IF(B32="","",IFERROR(INDEX('03 Personnes'!$D$9:$D$158,MATCH(B32,'03 Personnes'!$B$9:$B$158,0)),"—"))</f>
        <v/>
      </c>
      <c r="E32" s="46"/>
      <c r="F32" s="46"/>
      <c r="G32" s="44" t="str">
        <f t="shared" ca="1" si="0"/>
        <v/>
      </c>
      <c r="H32" s="45" t="str">
        <f t="shared" si="1"/>
        <v/>
      </c>
    </row>
    <row r="33" spans="2:8" ht="21" customHeight="1" x14ac:dyDescent="0.25">
      <c r="B33" s="43"/>
      <c r="C33" s="43"/>
      <c r="D33" s="44" t="str">
        <f>IF(B33="","",IFERROR(INDEX('03 Personnes'!$D$9:$D$158,MATCH(B33,'03 Personnes'!$B$9:$B$158,0)),"—"))</f>
        <v/>
      </c>
      <c r="E33" s="46"/>
      <c r="F33" s="46"/>
      <c r="G33" s="44" t="str">
        <f t="shared" ca="1" si="0"/>
        <v/>
      </c>
      <c r="H33" s="45" t="str">
        <f t="shared" si="1"/>
        <v/>
      </c>
    </row>
    <row r="34" spans="2:8" ht="21" customHeight="1" x14ac:dyDescent="0.25">
      <c r="B34" s="43"/>
      <c r="C34" s="43"/>
      <c r="D34" s="44" t="str">
        <f>IF(B34="","",IFERROR(INDEX('03 Personnes'!$D$9:$D$158,MATCH(B34,'03 Personnes'!$B$9:$B$158,0)),"—"))</f>
        <v/>
      </c>
      <c r="E34" s="46"/>
      <c r="F34" s="46"/>
      <c r="G34" s="44" t="str">
        <f t="shared" ca="1" si="0"/>
        <v/>
      </c>
      <c r="H34" s="45" t="str">
        <f t="shared" si="1"/>
        <v/>
      </c>
    </row>
    <row r="35" spans="2:8" ht="21" customHeight="1" x14ac:dyDescent="0.25">
      <c r="B35" s="43"/>
      <c r="C35" s="43"/>
      <c r="D35" s="44" t="str">
        <f>IF(B35="","",IFERROR(INDEX('03 Personnes'!$D$9:$D$158,MATCH(B35,'03 Personnes'!$B$9:$B$158,0)),"—"))</f>
        <v/>
      </c>
      <c r="E35" s="46"/>
      <c r="F35" s="46"/>
      <c r="G35" s="44" t="str">
        <f t="shared" ca="1" si="0"/>
        <v/>
      </c>
      <c r="H35" s="45" t="str">
        <f t="shared" si="1"/>
        <v/>
      </c>
    </row>
    <row r="36" spans="2:8" ht="21" customHeight="1" x14ac:dyDescent="0.25">
      <c r="B36" s="43"/>
      <c r="C36" s="43"/>
      <c r="D36" s="44" t="str">
        <f>IF(B36="","",IFERROR(INDEX('03 Personnes'!$D$9:$D$158,MATCH(B36,'03 Personnes'!$B$9:$B$158,0)),"—"))</f>
        <v/>
      </c>
      <c r="E36" s="46"/>
      <c r="F36" s="46"/>
      <c r="G36" s="44" t="str">
        <f t="shared" ca="1" si="0"/>
        <v/>
      </c>
      <c r="H36" s="45" t="str">
        <f t="shared" si="1"/>
        <v/>
      </c>
    </row>
    <row r="37" spans="2:8" ht="21" customHeight="1" x14ac:dyDescent="0.25">
      <c r="B37" s="43"/>
      <c r="C37" s="43"/>
      <c r="D37" s="44" t="str">
        <f>IF(B37="","",IFERROR(INDEX('03 Personnes'!$D$9:$D$158,MATCH(B37,'03 Personnes'!$B$9:$B$158,0)),"—"))</f>
        <v/>
      </c>
      <c r="E37" s="46"/>
      <c r="F37" s="46"/>
      <c r="G37" s="44" t="str">
        <f t="shared" ca="1" si="0"/>
        <v/>
      </c>
      <c r="H37" s="45" t="str">
        <f t="shared" si="1"/>
        <v/>
      </c>
    </row>
    <row r="38" spans="2:8" ht="21" customHeight="1" x14ac:dyDescent="0.25">
      <c r="B38" s="43"/>
      <c r="C38" s="43"/>
      <c r="D38" s="44" t="str">
        <f>IF(B38="","",IFERROR(INDEX('03 Personnes'!$D$9:$D$158,MATCH(B38,'03 Personnes'!$B$9:$B$158,0)),"—"))</f>
        <v/>
      </c>
      <c r="E38" s="46"/>
      <c r="F38" s="46"/>
      <c r="G38" s="44" t="str">
        <f t="shared" ca="1" si="0"/>
        <v/>
      </c>
      <c r="H38" s="45" t="str">
        <f t="shared" si="1"/>
        <v/>
      </c>
    </row>
    <row r="39" spans="2:8" ht="21" customHeight="1" x14ac:dyDescent="0.25">
      <c r="B39" s="43"/>
      <c r="C39" s="43"/>
      <c r="D39" s="44" t="str">
        <f>IF(B39="","",IFERROR(INDEX('03 Personnes'!$D$9:$D$158,MATCH(B39,'03 Personnes'!$B$9:$B$158,0)),"—"))</f>
        <v/>
      </c>
      <c r="E39" s="46"/>
      <c r="F39" s="46"/>
      <c r="G39" s="44" t="str">
        <f t="shared" ca="1" si="0"/>
        <v/>
      </c>
      <c r="H39" s="45" t="str">
        <f t="shared" si="1"/>
        <v/>
      </c>
    </row>
    <row r="40" spans="2:8" ht="21" customHeight="1" x14ac:dyDescent="0.25">
      <c r="B40" s="43"/>
      <c r="C40" s="43"/>
      <c r="D40" s="44" t="str">
        <f>IF(B40="","",IFERROR(INDEX('03 Personnes'!$D$9:$D$158,MATCH(B40,'03 Personnes'!$B$9:$B$158,0)),"—"))</f>
        <v/>
      </c>
      <c r="E40" s="46"/>
      <c r="F40" s="46"/>
      <c r="G40" s="44" t="str">
        <f t="shared" ca="1" si="0"/>
        <v/>
      </c>
      <c r="H40" s="45" t="str">
        <f t="shared" si="1"/>
        <v/>
      </c>
    </row>
    <row r="41" spans="2:8" ht="21" customHeight="1" x14ac:dyDescent="0.25">
      <c r="B41" s="43"/>
      <c r="C41" s="43"/>
      <c r="D41" s="44" t="str">
        <f>IF(B41="","",IFERROR(INDEX('03 Personnes'!$D$9:$D$158,MATCH(B41,'03 Personnes'!$B$9:$B$158,0)),"—"))</f>
        <v/>
      </c>
      <c r="E41" s="46"/>
      <c r="F41" s="46"/>
      <c r="G41" s="44" t="str">
        <f t="shared" ref="G41:G72" ca="1" si="2">IF(B41="","",IF(OR(F41="",F41&gt;=TODAY()),"Oui","Non"))</f>
        <v/>
      </c>
      <c r="H41" s="45" t="str">
        <f t="shared" ref="H41:H72" si="3">IF(B41="","",IF(AND(E41&lt;&gt;"",F41&lt;&gt;"",F41&lt;E41),"⚠ Fin avant début",IF(COUNTIFS($B$9:$B$208,B41,$C$9:$C$208,C41,$E$9:$E$208,E41)&gt;1,"⚠ Doublon","✓")))</f>
        <v/>
      </c>
    </row>
    <row r="42" spans="2:8" ht="21" customHeight="1" x14ac:dyDescent="0.25">
      <c r="B42" s="43"/>
      <c r="C42" s="43"/>
      <c r="D42" s="44" t="str">
        <f>IF(B42="","",IFERROR(INDEX('03 Personnes'!$D$9:$D$158,MATCH(B42,'03 Personnes'!$B$9:$B$158,0)),"—"))</f>
        <v/>
      </c>
      <c r="E42" s="46"/>
      <c r="F42" s="46"/>
      <c r="G42" s="44" t="str">
        <f t="shared" ca="1" si="2"/>
        <v/>
      </c>
      <c r="H42" s="45" t="str">
        <f t="shared" si="3"/>
        <v/>
      </c>
    </row>
    <row r="43" spans="2:8" ht="21" customHeight="1" x14ac:dyDescent="0.25">
      <c r="B43" s="43"/>
      <c r="C43" s="43"/>
      <c r="D43" s="44" t="str">
        <f>IF(B43="","",IFERROR(INDEX('03 Personnes'!$D$9:$D$158,MATCH(B43,'03 Personnes'!$B$9:$B$158,0)),"—"))</f>
        <v/>
      </c>
      <c r="E43" s="46"/>
      <c r="F43" s="46"/>
      <c r="G43" s="44" t="str">
        <f t="shared" ca="1" si="2"/>
        <v/>
      </c>
      <c r="H43" s="45" t="str">
        <f t="shared" si="3"/>
        <v/>
      </c>
    </row>
    <row r="44" spans="2:8" ht="21" customHeight="1" x14ac:dyDescent="0.25">
      <c r="B44" s="43"/>
      <c r="C44" s="43"/>
      <c r="D44" s="44" t="str">
        <f>IF(B44="","",IFERROR(INDEX('03 Personnes'!$D$9:$D$158,MATCH(B44,'03 Personnes'!$B$9:$B$158,0)),"—"))</f>
        <v/>
      </c>
      <c r="E44" s="46"/>
      <c r="F44" s="46"/>
      <c r="G44" s="44" t="str">
        <f t="shared" ca="1" si="2"/>
        <v/>
      </c>
      <c r="H44" s="45" t="str">
        <f t="shared" si="3"/>
        <v/>
      </c>
    </row>
    <row r="45" spans="2:8" ht="21" customHeight="1" x14ac:dyDescent="0.25">
      <c r="B45" s="43"/>
      <c r="C45" s="43"/>
      <c r="D45" s="44" t="str">
        <f>IF(B45="","",IFERROR(INDEX('03 Personnes'!$D$9:$D$158,MATCH(B45,'03 Personnes'!$B$9:$B$158,0)),"—"))</f>
        <v/>
      </c>
      <c r="E45" s="46"/>
      <c r="F45" s="46"/>
      <c r="G45" s="44" t="str">
        <f t="shared" ca="1" si="2"/>
        <v/>
      </c>
      <c r="H45" s="45" t="str">
        <f t="shared" si="3"/>
        <v/>
      </c>
    </row>
    <row r="46" spans="2:8" ht="21" customHeight="1" x14ac:dyDescent="0.25">
      <c r="B46" s="43"/>
      <c r="C46" s="43"/>
      <c r="D46" s="44" t="str">
        <f>IF(B46="","",IFERROR(INDEX('03 Personnes'!$D$9:$D$158,MATCH(B46,'03 Personnes'!$B$9:$B$158,0)),"—"))</f>
        <v/>
      </c>
      <c r="E46" s="46"/>
      <c r="F46" s="46"/>
      <c r="G46" s="44" t="str">
        <f t="shared" ca="1" si="2"/>
        <v/>
      </c>
      <c r="H46" s="45" t="str">
        <f t="shared" si="3"/>
        <v/>
      </c>
    </row>
    <row r="47" spans="2:8" ht="21" customHeight="1" x14ac:dyDescent="0.25">
      <c r="B47" s="43"/>
      <c r="C47" s="43"/>
      <c r="D47" s="44" t="str">
        <f>IF(B47="","",IFERROR(INDEX('03 Personnes'!$D$9:$D$158,MATCH(B47,'03 Personnes'!$B$9:$B$158,0)),"—"))</f>
        <v/>
      </c>
      <c r="E47" s="46"/>
      <c r="F47" s="46"/>
      <c r="G47" s="44" t="str">
        <f t="shared" ca="1" si="2"/>
        <v/>
      </c>
      <c r="H47" s="45" t="str">
        <f t="shared" si="3"/>
        <v/>
      </c>
    </row>
    <row r="48" spans="2:8" ht="21" customHeight="1" x14ac:dyDescent="0.25">
      <c r="B48" s="43"/>
      <c r="C48" s="43"/>
      <c r="D48" s="44" t="str">
        <f>IF(B48="","",IFERROR(INDEX('03 Personnes'!$D$9:$D$158,MATCH(B48,'03 Personnes'!$B$9:$B$158,0)),"—"))</f>
        <v/>
      </c>
      <c r="E48" s="46"/>
      <c r="F48" s="46"/>
      <c r="G48" s="44" t="str">
        <f t="shared" ca="1" si="2"/>
        <v/>
      </c>
      <c r="H48" s="45" t="str">
        <f t="shared" si="3"/>
        <v/>
      </c>
    </row>
    <row r="49" spans="2:8" ht="21" customHeight="1" x14ac:dyDescent="0.25">
      <c r="B49" s="43"/>
      <c r="C49" s="43"/>
      <c r="D49" s="44" t="str">
        <f>IF(B49="","",IFERROR(INDEX('03 Personnes'!$D$9:$D$158,MATCH(B49,'03 Personnes'!$B$9:$B$158,0)),"—"))</f>
        <v/>
      </c>
      <c r="E49" s="46"/>
      <c r="F49" s="46"/>
      <c r="G49" s="44" t="str">
        <f t="shared" ca="1" si="2"/>
        <v/>
      </c>
      <c r="H49" s="45" t="str">
        <f t="shared" si="3"/>
        <v/>
      </c>
    </row>
    <row r="50" spans="2:8" ht="21" customHeight="1" x14ac:dyDescent="0.25">
      <c r="B50" s="43"/>
      <c r="C50" s="43"/>
      <c r="D50" s="44" t="str">
        <f>IF(B50="","",IFERROR(INDEX('03 Personnes'!$D$9:$D$158,MATCH(B50,'03 Personnes'!$B$9:$B$158,0)),"—"))</f>
        <v/>
      </c>
      <c r="E50" s="46"/>
      <c r="F50" s="46"/>
      <c r="G50" s="44" t="str">
        <f t="shared" ca="1" si="2"/>
        <v/>
      </c>
      <c r="H50" s="45" t="str">
        <f t="shared" si="3"/>
        <v/>
      </c>
    </row>
    <row r="51" spans="2:8" ht="21" customHeight="1" x14ac:dyDescent="0.25">
      <c r="B51" s="43"/>
      <c r="C51" s="43"/>
      <c r="D51" s="44" t="str">
        <f>IF(B51="","",IFERROR(INDEX('03 Personnes'!$D$9:$D$158,MATCH(B51,'03 Personnes'!$B$9:$B$158,0)),"—"))</f>
        <v/>
      </c>
      <c r="E51" s="46"/>
      <c r="F51" s="46"/>
      <c r="G51" s="44" t="str">
        <f t="shared" ca="1" si="2"/>
        <v/>
      </c>
      <c r="H51" s="45" t="str">
        <f t="shared" si="3"/>
        <v/>
      </c>
    </row>
    <row r="52" spans="2:8" ht="21" customHeight="1" x14ac:dyDescent="0.25">
      <c r="B52" s="43"/>
      <c r="C52" s="43"/>
      <c r="D52" s="44" t="str">
        <f>IF(B52="","",IFERROR(INDEX('03 Personnes'!$D$9:$D$158,MATCH(B52,'03 Personnes'!$B$9:$B$158,0)),"—"))</f>
        <v/>
      </c>
      <c r="E52" s="46"/>
      <c r="F52" s="46"/>
      <c r="G52" s="44" t="str">
        <f t="shared" ca="1" si="2"/>
        <v/>
      </c>
      <c r="H52" s="45" t="str">
        <f t="shared" si="3"/>
        <v/>
      </c>
    </row>
    <row r="53" spans="2:8" ht="21" customHeight="1" x14ac:dyDescent="0.25">
      <c r="B53" s="43"/>
      <c r="C53" s="43"/>
      <c r="D53" s="44" t="str">
        <f>IF(B53="","",IFERROR(INDEX('03 Personnes'!$D$9:$D$158,MATCH(B53,'03 Personnes'!$B$9:$B$158,0)),"—"))</f>
        <v/>
      </c>
      <c r="E53" s="46"/>
      <c r="F53" s="46"/>
      <c r="G53" s="44" t="str">
        <f t="shared" ca="1" si="2"/>
        <v/>
      </c>
      <c r="H53" s="45" t="str">
        <f t="shared" si="3"/>
        <v/>
      </c>
    </row>
    <row r="54" spans="2:8" ht="21" customHeight="1" x14ac:dyDescent="0.25">
      <c r="B54" s="43"/>
      <c r="C54" s="43"/>
      <c r="D54" s="44" t="str">
        <f>IF(B54="","",IFERROR(INDEX('03 Personnes'!$D$9:$D$158,MATCH(B54,'03 Personnes'!$B$9:$B$158,0)),"—"))</f>
        <v/>
      </c>
      <c r="E54" s="46"/>
      <c r="F54" s="46"/>
      <c r="G54" s="44" t="str">
        <f t="shared" ca="1" si="2"/>
        <v/>
      </c>
      <c r="H54" s="45" t="str">
        <f t="shared" si="3"/>
        <v/>
      </c>
    </row>
    <row r="55" spans="2:8" ht="21" customHeight="1" x14ac:dyDescent="0.25">
      <c r="B55" s="43"/>
      <c r="C55" s="43"/>
      <c r="D55" s="44" t="str">
        <f>IF(B55="","",IFERROR(INDEX('03 Personnes'!$D$9:$D$158,MATCH(B55,'03 Personnes'!$B$9:$B$158,0)),"—"))</f>
        <v/>
      </c>
      <c r="E55" s="46"/>
      <c r="F55" s="46"/>
      <c r="G55" s="44" t="str">
        <f t="shared" ca="1" si="2"/>
        <v/>
      </c>
      <c r="H55" s="45" t="str">
        <f t="shared" si="3"/>
        <v/>
      </c>
    </row>
    <row r="56" spans="2:8" ht="21" customHeight="1" x14ac:dyDescent="0.25">
      <c r="B56" s="43"/>
      <c r="C56" s="43"/>
      <c r="D56" s="44" t="str">
        <f>IF(B56="","",IFERROR(INDEX('03 Personnes'!$D$9:$D$158,MATCH(B56,'03 Personnes'!$B$9:$B$158,0)),"—"))</f>
        <v/>
      </c>
      <c r="E56" s="46"/>
      <c r="F56" s="46"/>
      <c r="G56" s="44" t="str">
        <f t="shared" ca="1" si="2"/>
        <v/>
      </c>
      <c r="H56" s="45" t="str">
        <f t="shared" si="3"/>
        <v/>
      </c>
    </row>
    <row r="57" spans="2:8" ht="21" customHeight="1" x14ac:dyDescent="0.25">
      <c r="B57" s="43"/>
      <c r="C57" s="43"/>
      <c r="D57" s="44" t="str">
        <f>IF(B57="","",IFERROR(INDEX('03 Personnes'!$D$9:$D$158,MATCH(B57,'03 Personnes'!$B$9:$B$158,0)),"—"))</f>
        <v/>
      </c>
      <c r="E57" s="46"/>
      <c r="F57" s="46"/>
      <c r="G57" s="44" t="str">
        <f t="shared" ca="1" si="2"/>
        <v/>
      </c>
      <c r="H57" s="45" t="str">
        <f t="shared" si="3"/>
        <v/>
      </c>
    </row>
    <row r="58" spans="2:8" ht="21" customHeight="1" x14ac:dyDescent="0.25">
      <c r="B58" s="43"/>
      <c r="C58" s="43"/>
      <c r="D58" s="44" t="str">
        <f>IF(B58="","",IFERROR(INDEX('03 Personnes'!$D$9:$D$158,MATCH(B58,'03 Personnes'!$B$9:$B$158,0)),"—"))</f>
        <v/>
      </c>
      <c r="E58" s="46"/>
      <c r="F58" s="46"/>
      <c r="G58" s="44" t="str">
        <f t="shared" ca="1" si="2"/>
        <v/>
      </c>
      <c r="H58" s="45" t="str">
        <f t="shared" si="3"/>
        <v/>
      </c>
    </row>
    <row r="59" spans="2:8" ht="21" customHeight="1" x14ac:dyDescent="0.25">
      <c r="B59" s="43"/>
      <c r="C59" s="43"/>
      <c r="D59" s="44" t="str">
        <f>IF(B59="","",IFERROR(INDEX('03 Personnes'!$D$9:$D$158,MATCH(B59,'03 Personnes'!$B$9:$B$158,0)),"—"))</f>
        <v/>
      </c>
      <c r="E59" s="46"/>
      <c r="F59" s="46"/>
      <c r="G59" s="44" t="str">
        <f t="shared" ca="1" si="2"/>
        <v/>
      </c>
      <c r="H59" s="45" t="str">
        <f t="shared" si="3"/>
        <v/>
      </c>
    </row>
    <row r="60" spans="2:8" ht="21" customHeight="1" x14ac:dyDescent="0.25">
      <c r="B60" s="43"/>
      <c r="C60" s="43"/>
      <c r="D60" s="44" t="str">
        <f>IF(B60="","",IFERROR(INDEX('03 Personnes'!$D$9:$D$158,MATCH(B60,'03 Personnes'!$B$9:$B$158,0)),"—"))</f>
        <v/>
      </c>
      <c r="E60" s="46"/>
      <c r="F60" s="46"/>
      <c r="G60" s="44" t="str">
        <f t="shared" ca="1" si="2"/>
        <v/>
      </c>
      <c r="H60" s="45" t="str">
        <f t="shared" si="3"/>
        <v/>
      </c>
    </row>
    <row r="61" spans="2:8" ht="21" customHeight="1" x14ac:dyDescent="0.25">
      <c r="B61" s="43"/>
      <c r="C61" s="43"/>
      <c r="D61" s="44" t="str">
        <f>IF(B61="","",IFERROR(INDEX('03 Personnes'!$D$9:$D$158,MATCH(B61,'03 Personnes'!$B$9:$B$158,0)),"—"))</f>
        <v/>
      </c>
      <c r="E61" s="46"/>
      <c r="F61" s="46"/>
      <c r="G61" s="44" t="str">
        <f t="shared" ca="1" si="2"/>
        <v/>
      </c>
      <c r="H61" s="45" t="str">
        <f t="shared" si="3"/>
        <v/>
      </c>
    </row>
    <row r="62" spans="2:8" ht="21" customHeight="1" x14ac:dyDescent="0.25">
      <c r="B62" s="43"/>
      <c r="C62" s="43"/>
      <c r="D62" s="44" t="str">
        <f>IF(B62="","",IFERROR(INDEX('03 Personnes'!$D$9:$D$158,MATCH(B62,'03 Personnes'!$B$9:$B$158,0)),"—"))</f>
        <v/>
      </c>
      <c r="E62" s="46"/>
      <c r="F62" s="46"/>
      <c r="G62" s="44" t="str">
        <f t="shared" ca="1" si="2"/>
        <v/>
      </c>
      <c r="H62" s="45" t="str">
        <f t="shared" si="3"/>
        <v/>
      </c>
    </row>
    <row r="63" spans="2:8" ht="21" customHeight="1" x14ac:dyDescent="0.25">
      <c r="B63" s="43"/>
      <c r="C63" s="43"/>
      <c r="D63" s="44" t="str">
        <f>IF(B63="","",IFERROR(INDEX('03 Personnes'!$D$9:$D$158,MATCH(B63,'03 Personnes'!$B$9:$B$158,0)),"—"))</f>
        <v/>
      </c>
      <c r="E63" s="46"/>
      <c r="F63" s="46"/>
      <c r="G63" s="44" t="str">
        <f t="shared" ca="1" si="2"/>
        <v/>
      </c>
      <c r="H63" s="45" t="str">
        <f t="shared" si="3"/>
        <v/>
      </c>
    </row>
    <row r="64" spans="2:8" ht="21" customHeight="1" x14ac:dyDescent="0.25">
      <c r="B64" s="43"/>
      <c r="C64" s="43"/>
      <c r="D64" s="44" t="str">
        <f>IF(B64="","",IFERROR(INDEX('03 Personnes'!$D$9:$D$158,MATCH(B64,'03 Personnes'!$B$9:$B$158,0)),"—"))</f>
        <v/>
      </c>
      <c r="E64" s="46"/>
      <c r="F64" s="46"/>
      <c r="G64" s="44" t="str">
        <f t="shared" ca="1" si="2"/>
        <v/>
      </c>
      <c r="H64" s="45" t="str">
        <f t="shared" si="3"/>
        <v/>
      </c>
    </row>
    <row r="65" spans="2:8" ht="21" customHeight="1" x14ac:dyDescent="0.25">
      <c r="B65" s="43"/>
      <c r="C65" s="43"/>
      <c r="D65" s="44" t="str">
        <f>IF(B65="","",IFERROR(INDEX('03 Personnes'!$D$9:$D$158,MATCH(B65,'03 Personnes'!$B$9:$B$158,0)),"—"))</f>
        <v/>
      </c>
      <c r="E65" s="46"/>
      <c r="F65" s="46"/>
      <c r="G65" s="44" t="str">
        <f t="shared" ca="1" si="2"/>
        <v/>
      </c>
      <c r="H65" s="45" t="str">
        <f t="shared" si="3"/>
        <v/>
      </c>
    </row>
    <row r="66" spans="2:8" ht="21" customHeight="1" x14ac:dyDescent="0.25">
      <c r="B66" s="43"/>
      <c r="C66" s="43"/>
      <c r="D66" s="44" t="str">
        <f>IF(B66="","",IFERROR(INDEX('03 Personnes'!$D$9:$D$158,MATCH(B66,'03 Personnes'!$B$9:$B$158,0)),"—"))</f>
        <v/>
      </c>
      <c r="E66" s="46"/>
      <c r="F66" s="46"/>
      <c r="G66" s="44" t="str">
        <f t="shared" ca="1" si="2"/>
        <v/>
      </c>
      <c r="H66" s="45" t="str">
        <f t="shared" si="3"/>
        <v/>
      </c>
    </row>
    <row r="67" spans="2:8" ht="21" customHeight="1" x14ac:dyDescent="0.25">
      <c r="B67" s="43"/>
      <c r="C67" s="43"/>
      <c r="D67" s="44" t="str">
        <f>IF(B67="","",IFERROR(INDEX('03 Personnes'!$D$9:$D$158,MATCH(B67,'03 Personnes'!$B$9:$B$158,0)),"—"))</f>
        <v/>
      </c>
      <c r="E67" s="46"/>
      <c r="F67" s="46"/>
      <c r="G67" s="44" t="str">
        <f t="shared" ca="1" si="2"/>
        <v/>
      </c>
      <c r="H67" s="45" t="str">
        <f t="shared" si="3"/>
        <v/>
      </c>
    </row>
    <row r="68" spans="2:8" ht="21" customHeight="1" x14ac:dyDescent="0.25">
      <c r="B68" s="43"/>
      <c r="C68" s="43"/>
      <c r="D68" s="44" t="str">
        <f>IF(B68="","",IFERROR(INDEX('03 Personnes'!$D$9:$D$158,MATCH(B68,'03 Personnes'!$B$9:$B$158,0)),"—"))</f>
        <v/>
      </c>
      <c r="E68" s="46"/>
      <c r="F68" s="46"/>
      <c r="G68" s="44" t="str">
        <f t="shared" ca="1" si="2"/>
        <v/>
      </c>
      <c r="H68" s="45" t="str">
        <f t="shared" si="3"/>
        <v/>
      </c>
    </row>
    <row r="69" spans="2:8" ht="21" customHeight="1" x14ac:dyDescent="0.25">
      <c r="B69" s="43"/>
      <c r="C69" s="43"/>
      <c r="D69" s="44" t="str">
        <f>IF(B69="","",IFERROR(INDEX('03 Personnes'!$D$9:$D$158,MATCH(B69,'03 Personnes'!$B$9:$B$158,0)),"—"))</f>
        <v/>
      </c>
      <c r="E69" s="46"/>
      <c r="F69" s="46"/>
      <c r="G69" s="44" t="str">
        <f t="shared" ca="1" si="2"/>
        <v/>
      </c>
      <c r="H69" s="45" t="str">
        <f t="shared" si="3"/>
        <v/>
      </c>
    </row>
    <row r="70" spans="2:8" ht="21" customHeight="1" x14ac:dyDescent="0.25">
      <c r="B70" s="43"/>
      <c r="C70" s="43"/>
      <c r="D70" s="44" t="str">
        <f>IF(B70="","",IFERROR(INDEX('03 Personnes'!$D$9:$D$158,MATCH(B70,'03 Personnes'!$B$9:$B$158,0)),"—"))</f>
        <v/>
      </c>
      <c r="E70" s="46"/>
      <c r="F70" s="46"/>
      <c r="G70" s="44" t="str">
        <f t="shared" ca="1" si="2"/>
        <v/>
      </c>
      <c r="H70" s="45" t="str">
        <f t="shared" si="3"/>
        <v/>
      </c>
    </row>
    <row r="71" spans="2:8" ht="21" customHeight="1" x14ac:dyDescent="0.25">
      <c r="B71" s="43"/>
      <c r="C71" s="43"/>
      <c r="D71" s="44" t="str">
        <f>IF(B71="","",IFERROR(INDEX('03 Personnes'!$D$9:$D$158,MATCH(B71,'03 Personnes'!$B$9:$B$158,0)),"—"))</f>
        <v/>
      </c>
      <c r="E71" s="46"/>
      <c r="F71" s="46"/>
      <c r="G71" s="44" t="str">
        <f t="shared" ca="1" si="2"/>
        <v/>
      </c>
      <c r="H71" s="45" t="str">
        <f t="shared" si="3"/>
        <v/>
      </c>
    </row>
    <row r="72" spans="2:8" ht="21" customHeight="1" x14ac:dyDescent="0.25">
      <c r="B72" s="43"/>
      <c r="C72" s="43"/>
      <c r="D72" s="44" t="str">
        <f>IF(B72="","",IFERROR(INDEX('03 Personnes'!$D$9:$D$158,MATCH(B72,'03 Personnes'!$B$9:$B$158,0)),"—"))</f>
        <v/>
      </c>
      <c r="E72" s="46"/>
      <c r="F72" s="46"/>
      <c r="G72" s="44" t="str">
        <f t="shared" ca="1" si="2"/>
        <v/>
      </c>
      <c r="H72" s="45" t="str">
        <f t="shared" si="3"/>
        <v/>
      </c>
    </row>
    <row r="73" spans="2:8" ht="21" customHeight="1" x14ac:dyDescent="0.25">
      <c r="B73" s="43"/>
      <c r="C73" s="43"/>
      <c r="D73" s="44" t="str">
        <f>IF(B73="","",IFERROR(INDEX('03 Personnes'!$D$9:$D$158,MATCH(B73,'03 Personnes'!$B$9:$B$158,0)),"—"))</f>
        <v/>
      </c>
      <c r="E73" s="46"/>
      <c r="F73" s="46"/>
      <c r="G73" s="44" t="str">
        <f t="shared" ref="G73:G104" ca="1" si="4">IF(B73="","",IF(OR(F73="",F73&gt;=TODAY()),"Oui","Non"))</f>
        <v/>
      </c>
      <c r="H73" s="45" t="str">
        <f t="shared" ref="H73:H104" si="5">IF(B73="","",IF(AND(E73&lt;&gt;"",F73&lt;&gt;"",F73&lt;E73),"⚠ Fin avant début",IF(COUNTIFS($B$9:$B$208,B73,$C$9:$C$208,C73,$E$9:$E$208,E73)&gt;1,"⚠ Doublon","✓")))</f>
        <v/>
      </c>
    </row>
    <row r="74" spans="2:8" ht="21" customHeight="1" x14ac:dyDescent="0.25">
      <c r="B74" s="43"/>
      <c r="C74" s="43"/>
      <c r="D74" s="44" t="str">
        <f>IF(B74="","",IFERROR(INDEX('03 Personnes'!$D$9:$D$158,MATCH(B74,'03 Personnes'!$B$9:$B$158,0)),"—"))</f>
        <v/>
      </c>
      <c r="E74" s="46"/>
      <c r="F74" s="46"/>
      <c r="G74" s="44" t="str">
        <f t="shared" ca="1" si="4"/>
        <v/>
      </c>
      <c r="H74" s="45" t="str">
        <f t="shared" si="5"/>
        <v/>
      </c>
    </row>
    <row r="75" spans="2:8" ht="21" customHeight="1" x14ac:dyDescent="0.25">
      <c r="B75" s="43"/>
      <c r="C75" s="43"/>
      <c r="D75" s="44" t="str">
        <f>IF(B75="","",IFERROR(INDEX('03 Personnes'!$D$9:$D$158,MATCH(B75,'03 Personnes'!$B$9:$B$158,0)),"—"))</f>
        <v/>
      </c>
      <c r="E75" s="46"/>
      <c r="F75" s="46"/>
      <c r="G75" s="44" t="str">
        <f t="shared" ca="1" si="4"/>
        <v/>
      </c>
      <c r="H75" s="45" t="str">
        <f t="shared" si="5"/>
        <v/>
      </c>
    </row>
    <row r="76" spans="2:8" ht="21" customHeight="1" x14ac:dyDescent="0.25">
      <c r="B76" s="43"/>
      <c r="C76" s="43"/>
      <c r="D76" s="44" t="str">
        <f>IF(B76="","",IFERROR(INDEX('03 Personnes'!$D$9:$D$158,MATCH(B76,'03 Personnes'!$B$9:$B$158,0)),"—"))</f>
        <v/>
      </c>
      <c r="E76" s="46"/>
      <c r="F76" s="46"/>
      <c r="G76" s="44" t="str">
        <f t="shared" ca="1" si="4"/>
        <v/>
      </c>
      <c r="H76" s="45" t="str">
        <f t="shared" si="5"/>
        <v/>
      </c>
    </row>
    <row r="77" spans="2:8" ht="21" customHeight="1" x14ac:dyDescent="0.25">
      <c r="B77" s="43"/>
      <c r="C77" s="43"/>
      <c r="D77" s="44" t="str">
        <f>IF(B77="","",IFERROR(INDEX('03 Personnes'!$D$9:$D$158,MATCH(B77,'03 Personnes'!$B$9:$B$158,0)),"—"))</f>
        <v/>
      </c>
      <c r="E77" s="46"/>
      <c r="F77" s="46"/>
      <c r="G77" s="44" t="str">
        <f t="shared" ca="1" si="4"/>
        <v/>
      </c>
      <c r="H77" s="45" t="str">
        <f t="shared" si="5"/>
        <v/>
      </c>
    </row>
    <row r="78" spans="2:8" ht="21" customHeight="1" x14ac:dyDescent="0.25">
      <c r="B78" s="43"/>
      <c r="C78" s="43"/>
      <c r="D78" s="44" t="str">
        <f>IF(B78="","",IFERROR(INDEX('03 Personnes'!$D$9:$D$158,MATCH(B78,'03 Personnes'!$B$9:$B$158,0)),"—"))</f>
        <v/>
      </c>
      <c r="E78" s="46"/>
      <c r="F78" s="46"/>
      <c r="G78" s="44" t="str">
        <f t="shared" ca="1" si="4"/>
        <v/>
      </c>
      <c r="H78" s="45" t="str">
        <f t="shared" si="5"/>
        <v/>
      </c>
    </row>
    <row r="79" spans="2:8" ht="21" customHeight="1" x14ac:dyDescent="0.25">
      <c r="B79" s="43"/>
      <c r="C79" s="43"/>
      <c r="D79" s="44" t="str">
        <f>IF(B79="","",IFERROR(INDEX('03 Personnes'!$D$9:$D$158,MATCH(B79,'03 Personnes'!$B$9:$B$158,0)),"—"))</f>
        <v/>
      </c>
      <c r="E79" s="46"/>
      <c r="F79" s="46"/>
      <c r="G79" s="44" t="str">
        <f t="shared" ca="1" si="4"/>
        <v/>
      </c>
      <c r="H79" s="45" t="str">
        <f t="shared" si="5"/>
        <v/>
      </c>
    </row>
    <row r="80" spans="2:8" ht="21" customHeight="1" x14ac:dyDescent="0.25">
      <c r="B80" s="43"/>
      <c r="C80" s="43"/>
      <c r="D80" s="44" t="str">
        <f>IF(B80="","",IFERROR(INDEX('03 Personnes'!$D$9:$D$158,MATCH(B80,'03 Personnes'!$B$9:$B$158,0)),"—"))</f>
        <v/>
      </c>
      <c r="E80" s="46"/>
      <c r="F80" s="46"/>
      <c r="G80" s="44" t="str">
        <f t="shared" ca="1" si="4"/>
        <v/>
      </c>
      <c r="H80" s="45" t="str">
        <f t="shared" si="5"/>
        <v/>
      </c>
    </row>
    <row r="81" spans="2:8" ht="21" customHeight="1" x14ac:dyDescent="0.25">
      <c r="B81" s="43"/>
      <c r="C81" s="43"/>
      <c r="D81" s="44" t="str">
        <f>IF(B81="","",IFERROR(INDEX('03 Personnes'!$D$9:$D$158,MATCH(B81,'03 Personnes'!$B$9:$B$158,0)),"—"))</f>
        <v/>
      </c>
      <c r="E81" s="46"/>
      <c r="F81" s="46"/>
      <c r="G81" s="44" t="str">
        <f t="shared" ca="1" si="4"/>
        <v/>
      </c>
      <c r="H81" s="45" t="str">
        <f t="shared" si="5"/>
        <v/>
      </c>
    </row>
    <row r="82" spans="2:8" ht="21" customHeight="1" x14ac:dyDescent="0.25">
      <c r="B82" s="43"/>
      <c r="C82" s="43"/>
      <c r="D82" s="44" t="str">
        <f>IF(B82="","",IFERROR(INDEX('03 Personnes'!$D$9:$D$158,MATCH(B82,'03 Personnes'!$B$9:$B$158,0)),"—"))</f>
        <v/>
      </c>
      <c r="E82" s="46"/>
      <c r="F82" s="46"/>
      <c r="G82" s="44" t="str">
        <f t="shared" ca="1" si="4"/>
        <v/>
      </c>
      <c r="H82" s="45" t="str">
        <f t="shared" si="5"/>
        <v/>
      </c>
    </row>
    <row r="83" spans="2:8" ht="21" customHeight="1" x14ac:dyDescent="0.25">
      <c r="B83" s="43"/>
      <c r="C83" s="43"/>
      <c r="D83" s="44" t="str">
        <f>IF(B83="","",IFERROR(INDEX('03 Personnes'!$D$9:$D$158,MATCH(B83,'03 Personnes'!$B$9:$B$158,0)),"—"))</f>
        <v/>
      </c>
      <c r="E83" s="46"/>
      <c r="F83" s="46"/>
      <c r="G83" s="44" t="str">
        <f t="shared" ca="1" si="4"/>
        <v/>
      </c>
      <c r="H83" s="45" t="str">
        <f t="shared" si="5"/>
        <v/>
      </c>
    </row>
    <row r="84" spans="2:8" ht="21" customHeight="1" x14ac:dyDescent="0.25">
      <c r="B84" s="43"/>
      <c r="C84" s="43"/>
      <c r="D84" s="44" t="str">
        <f>IF(B84="","",IFERROR(INDEX('03 Personnes'!$D$9:$D$158,MATCH(B84,'03 Personnes'!$B$9:$B$158,0)),"—"))</f>
        <v/>
      </c>
      <c r="E84" s="46"/>
      <c r="F84" s="46"/>
      <c r="G84" s="44" t="str">
        <f t="shared" ca="1" si="4"/>
        <v/>
      </c>
      <c r="H84" s="45" t="str">
        <f t="shared" si="5"/>
        <v/>
      </c>
    </row>
    <row r="85" spans="2:8" ht="21" customHeight="1" x14ac:dyDescent="0.25">
      <c r="B85" s="43"/>
      <c r="C85" s="43"/>
      <c r="D85" s="44" t="str">
        <f>IF(B85="","",IFERROR(INDEX('03 Personnes'!$D$9:$D$158,MATCH(B85,'03 Personnes'!$B$9:$B$158,0)),"—"))</f>
        <v/>
      </c>
      <c r="E85" s="46"/>
      <c r="F85" s="46"/>
      <c r="G85" s="44" t="str">
        <f t="shared" ca="1" si="4"/>
        <v/>
      </c>
      <c r="H85" s="45" t="str">
        <f t="shared" si="5"/>
        <v/>
      </c>
    </row>
    <row r="86" spans="2:8" ht="21" customHeight="1" x14ac:dyDescent="0.25">
      <c r="B86" s="43"/>
      <c r="C86" s="43"/>
      <c r="D86" s="44" t="str">
        <f>IF(B86="","",IFERROR(INDEX('03 Personnes'!$D$9:$D$158,MATCH(B86,'03 Personnes'!$B$9:$B$158,0)),"—"))</f>
        <v/>
      </c>
      <c r="E86" s="46"/>
      <c r="F86" s="46"/>
      <c r="G86" s="44" t="str">
        <f t="shared" ca="1" si="4"/>
        <v/>
      </c>
      <c r="H86" s="45" t="str">
        <f t="shared" si="5"/>
        <v/>
      </c>
    </row>
    <row r="87" spans="2:8" ht="21" customHeight="1" x14ac:dyDescent="0.25">
      <c r="B87" s="43"/>
      <c r="C87" s="43"/>
      <c r="D87" s="44" t="str">
        <f>IF(B87="","",IFERROR(INDEX('03 Personnes'!$D$9:$D$158,MATCH(B87,'03 Personnes'!$B$9:$B$158,0)),"—"))</f>
        <v/>
      </c>
      <c r="E87" s="46"/>
      <c r="F87" s="46"/>
      <c r="G87" s="44" t="str">
        <f t="shared" ca="1" si="4"/>
        <v/>
      </c>
      <c r="H87" s="45" t="str">
        <f t="shared" si="5"/>
        <v/>
      </c>
    </row>
    <row r="88" spans="2:8" ht="21" customHeight="1" x14ac:dyDescent="0.25">
      <c r="B88" s="43"/>
      <c r="C88" s="43"/>
      <c r="D88" s="44" t="str">
        <f>IF(B88="","",IFERROR(INDEX('03 Personnes'!$D$9:$D$158,MATCH(B88,'03 Personnes'!$B$9:$B$158,0)),"—"))</f>
        <v/>
      </c>
      <c r="E88" s="46"/>
      <c r="F88" s="46"/>
      <c r="G88" s="44" t="str">
        <f t="shared" ca="1" si="4"/>
        <v/>
      </c>
      <c r="H88" s="45" t="str">
        <f t="shared" si="5"/>
        <v/>
      </c>
    </row>
    <row r="89" spans="2:8" ht="21" customHeight="1" x14ac:dyDescent="0.25">
      <c r="B89" s="43"/>
      <c r="C89" s="43"/>
      <c r="D89" s="44" t="str">
        <f>IF(B89="","",IFERROR(INDEX('03 Personnes'!$D$9:$D$158,MATCH(B89,'03 Personnes'!$B$9:$B$158,0)),"—"))</f>
        <v/>
      </c>
      <c r="E89" s="46"/>
      <c r="F89" s="46"/>
      <c r="G89" s="44" t="str">
        <f t="shared" ca="1" si="4"/>
        <v/>
      </c>
      <c r="H89" s="45" t="str">
        <f t="shared" si="5"/>
        <v/>
      </c>
    </row>
    <row r="90" spans="2:8" ht="21" customHeight="1" x14ac:dyDescent="0.25">
      <c r="B90" s="43"/>
      <c r="C90" s="43"/>
      <c r="D90" s="44" t="str">
        <f>IF(B90="","",IFERROR(INDEX('03 Personnes'!$D$9:$D$158,MATCH(B90,'03 Personnes'!$B$9:$B$158,0)),"—"))</f>
        <v/>
      </c>
      <c r="E90" s="46"/>
      <c r="F90" s="46"/>
      <c r="G90" s="44" t="str">
        <f t="shared" ca="1" si="4"/>
        <v/>
      </c>
      <c r="H90" s="45" t="str">
        <f t="shared" si="5"/>
        <v/>
      </c>
    </row>
    <row r="91" spans="2:8" ht="21" customHeight="1" x14ac:dyDescent="0.25">
      <c r="B91" s="43"/>
      <c r="C91" s="43"/>
      <c r="D91" s="44" t="str">
        <f>IF(B91="","",IFERROR(INDEX('03 Personnes'!$D$9:$D$158,MATCH(B91,'03 Personnes'!$B$9:$B$158,0)),"—"))</f>
        <v/>
      </c>
      <c r="E91" s="46"/>
      <c r="F91" s="46"/>
      <c r="G91" s="44" t="str">
        <f t="shared" ca="1" si="4"/>
        <v/>
      </c>
      <c r="H91" s="45" t="str">
        <f t="shared" si="5"/>
        <v/>
      </c>
    </row>
    <row r="92" spans="2:8" ht="21" customHeight="1" x14ac:dyDescent="0.25">
      <c r="B92" s="43"/>
      <c r="C92" s="43"/>
      <c r="D92" s="44" t="str">
        <f>IF(B92="","",IFERROR(INDEX('03 Personnes'!$D$9:$D$158,MATCH(B92,'03 Personnes'!$B$9:$B$158,0)),"—"))</f>
        <v/>
      </c>
      <c r="E92" s="46"/>
      <c r="F92" s="46"/>
      <c r="G92" s="44" t="str">
        <f t="shared" ca="1" si="4"/>
        <v/>
      </c>
      <c r="H92" s="45" t="str">
        <f t="shared" si="5"/>
        <v/>
      </c>
    </row>
    <row r="93" spans="2:8" ht="21" customHeight="1" x14ac:dyDescent="0.25">
      <c r="B93" s="43"/>
      <c r="C93" s="43"/>
      <c r="D93" s="44" t="str">
        <f>IF(B93="","",IFERROR(INDEX('03 Personnes'!$D$9:$D$158,MATCH(B93,'03 Personnes'!$B$9:$B$158,0)),"—"))</f>
        <v/>
      </c>
      <c r="E93" s="46"/>
      <c r="F93" s="46"/>
      <c r="G93" s="44" t="str">
        <f t="shared" ca="1" si="4"/>
        <v/>
      </c>
      <c r="H93" s="45" t="str">
        <f t="shared" si="5"/>
        <v/>
      </c>
    </row>
    <row r="94" spans="2:8" ht="21" customHeight="1" x14ac:dyDescent="0.25">
      <c r="B94" s="43"/>
      <c r="C94" s="43"/>
      <c r="D94" s="44" t="str">
        <f>IF(B94="","",IFERROR(INDEX('03 Personnes'!$D$9:$D$158,MATCH(B94,'03 Personnes'!$B$9:$B$158,0)),"—"))</f>
        <v/>
      </c>
      <c r="E94" s="46"/>
      <c r="F94" s="46"/>
      <c r="G94" s="44" t="str">
        <f t="shared" ca="1" si="4"/>
        <v/>
      </c>
      <c r="H94" s="45" t="str">
        <f t="shared" si="5"/>
        <v/>
      </c>
    </row>
    <row r="95" spans="2:8" ht="21" customHeight="1" x14ac:dyDescent="0.25">
      <c r="B95" s="43"/>
      <c r="C95" s="43"/>
      <c r="D95" s="44" t="str">
        <f>IF(B95="","",IFERROR(INDEX('03 Personnes'!$D$9:$D$158,MATCH(B95,'03 Personnes'!$B$9:$B$158,0)),"—"))</f>
        <v/>
      </c>
      <c r="E95" s="46"/>
      <c r="F95" s="46"/>
      <c r="G95" s="44" t="str">
        <f t="shared" ca="1" si="4"/>
        <v/>
      </c>
      <c r="H95" s="45" t="str">
        <f t="shared" si="5"/>
        <v/>
      </c>
    </row>
    <row r="96" spans="2:8" ht="21" customHeight="1" x14ac:dyDescent="0.25">
      <c r="B96" s="43"/>
      <c r="C96" s="43"/>
      <c r="D96" s="44" t="str">
        <f>IF(B96="","",IFERROR(INDEX('03 Personnes'!$D$9:$D$158,MATCH(B96,'03 Personnes'!$B$9:$B$158,0)),"—"))</f>
        <v/>
      </c>
      <c r="E96" s="46"/>
      <c r="F96" s="46"/>
      <c r="G96" s="44" t="str">
        <f t="shared" ca="1" si="4"/>
        <v/>
      </c>
      <c r="H96" s="45" t="str">
        <f t="shared" si="5"/>
        <v/>
      </c>
    </row>
    <row r="97" spans="2:8" ht="21" customHeight="1" x14ac:dyDescent="0.25">
      <c r="B97" s="43"/>
      <c r="C97" s="43"/>
      <c r="D97" s="44" t="str">
        <f>IF(B97="","",IFERROR(INDEX('03 Personnes'!$D$9:$D$158,MATCH(B97,'03 Personnes'!$B$9:$B$158,0)),"—"))</f>
        <v/>
      </c>
      <c r="E97" s="46"/>
      <c r="F97" s="46"/>
      <c r="G97" s="44" t="str">
        <f t="shared" ca="1" si="4"/>
        <v/>
      </c>
      <c r="H97" s="45" t="str">
        <f t="shared" si="5"/>
        <v/>
      </c>
    </row>
    <row r="98" spans="2:8" ht="21" customHeight="1" x14ac:dyDescent="0.25">
      <c r="B98" s="43"/>
      <c r="C98" s="43"/>
      <c r="D98" s="44" t="str">
        <f>IF(B98="","",IFERROR(INDEX('03 Personnes'!$D$9:$D$158,MATCH(B98,'03 Personnes'!$B$9:$B$158,0)),"—"))</f>
        <v/>
      </c>
      <c r="E98" s="46"/>
      <c r="F98" s="46"/>
      <c r="G98" s="44" t="str">
        <f t="shared" ca="1" si="4"/>
        <v/>
      </c>
      <c r="H98" s="45" t="str">
        <f t="shared" si="5"/>
        <v/>
      </c>
    </row>
    <row r="99" spans="2:8" ht="21" customHeight="1" x14ac:dyDescent="0.25">
      <c r="B99" s="43"/>
      <c r="C99" s="43"/>
      <c r="D99" s="44" t="str">
        <f>IF(B99="","",IFERROR(INDEX('03 Personnes'!$D$9:$D$158,MATCH(B99,'03 Personnes'!$B$9:$B$158,0)),"—"))</f>
        <v/>
      </c>
      <c r="E99" s="46"/>
      <c r="F99" s="46"/>
      <c r="G99" s="44" t="str">
        <f t="shared" ca="1" si="4"/>
        <v/>
      </c>
      <c r="H99" s="45" t="str">
        <f t="shared" si="5"/>
        <v/>
      </c>
    </row>
    <row r="100" spans="2:8" ht="21" customHeight="1" x14ac:dyDescent="0.25">
      <c r="B100" s="43"/>
      <c r="C100" s="43"/>
      <c r="D100" s="44" t="str">
        <f>IF(B100="","",IFERROR(INDEX('03 Personnes'!$D$9:$D$158,MATCH(B100,'03 Personnes'!$B$9:$B$158,0)),"—"))</f>
        <v/>
      </c>
      <c r="E100" s="46"/>
      <c r="F100" s="46"/>
      <c r="G100" s="44" t="str">
        <f t="shared" ca="1" si="4"/>
        <v/>
      </c>
      <c r="H100" s="45" t="str">
        <f t="shared" si="5"/>
        <v/>
      </c>
    </row>
    <row r="101" spans="2:8" ht="21" customHeight="1" x14ac:dyDescent="0.25">
      <c r="B101" s="43"/>
      <c r="C101" s="43"/>
      <c r="D101" s="44" t="str">
        <f>IF(B101="","",IFERROR(INDEX('03 Personnes'!$D$9:$D$158,MATCH(B101,'03 Personnes'!$B$9:$B$158,0)),"—"))</f>
        <v/>
      </c>
      <c r="E101" s="46"/>
      <c r="F101" s="46"/>
      <c r="G101" s="44" t="str">
        <f t="shared" ca="1" si="4"/>
        <v/>
      </c>
      <c r="H101" s="45" t="str">
        <f t="shared" si="5"/>
        <v/>
      </c>
    </row>
    <row r="102" spans="2:8" ht="21" customHeight="1" x14ac:dyDescent="0.25">
      <c r="B102" s="43"/>
      <c r="C102" s="43"/>
      <c r="D102" s="44" t="str">
        <f>IF(B102="","",IFERROR(INDEX('03 Personnes'!$D$9:$D$158,MATCH(B102,'03 Personnes'!$B$9:$B$158,0)),"—"))</f>
        <v/>
      </c>
      <c r="E102" s="46"/>
      <c r="F102" s="46"/>
      <c r="G102" s="44" t="str">
        <f t="shared" ca="1" si="4"/>
        <v/>
      </c>
      <c r="H102" s="45" t="str">
        <f t="shared" si="5"/>
        <v/>
      </c>
    </row>
    <row r="103" spans="2:8" ht="21" customHeight="1" x14ac:dyDescent="0.25">
      <c r="B103" s="43"/>
      <c r="C103" s="43"/>
      <c r="D103" s="44" t="str">
        <f>IF(B103="","",IFERROR(INDEX('03 Personnes'!$D$9:$D$158,MATCH(B103,'03 Personnes'!$B$9:$B$158,0)),"—"))</f>
        <v/>
      </c>
      <c r="E103" s="46"/>
      <c r="F103" s="46"/>
      <c r="G103" s="44" t="str">
        <f t="shared" ca="1" si="4"/>
        <v/>
      </c>
      <c r="H103" s="45" t="str">
        <f t="shared" si="5"/>
        <v/>
      </c>
    </row>
    <row r="104" spans="2:8" ht="21" customHeight="1" x14ac:dyDescent="0.25">
      <c r="B104" s="43"/>
      <c r="C104" s="43"/>
      <c r="D104" s="44" t="str">
        <f>IF(B104="","",IFERROR(INDEX('03 Personnes'!$D$9:$D$158,MATCH(B104,'03 Personnes'!$B$9:$B$158,0)),"—"))</f>
        <v/>
      </c>
      <c r="E104" s="46"/>
      <c r="F104" s="46"/>
      <c r="G104" s="44" t="str">
        <f t="shared" ca="1" si="4"/>
        <v/>
      </c>
      <c r="H104" s="45" t="str">
        <f t="shared" si="5"/>
        <v/>
      </c>
    </row>
    <row r="105" spans="2:8" ht="21" customHeight="1" x14ac:dyDescent="0.25">
      <c r="B105" s="43"/>
      <c r="C105" s="43"/>
      <c r="D105" s="44" t="str">
        <f>IF(B105="","",IFERROR(INDEX('03 Personnes'!$D$9:$D$158,MATCH(B105,'03 Personnes'!$B$9:$B$158,0)),"—"))</f>
        <v/>
      </c>
      <c r="E105" s="46"/>
      <c r="F105" s="46"/>
      <c r="G105" s="44" t="str">
        <f t="shared" ref="G105:G136" ca="1" si="6">IF(B105="","",IF(OR(F105="",F105&gt;=TODAY()),"Oui","Non"))</f>
        <v/>
      </c>
      <c r="H105" s="45" t="str">
        <f t="shared" ref="H105:H136" si="7">IF(B105="","",IF(AND(E105&lt;&gt;"",F105&lt;&gt;"",F105&lt;E105),"⚠ Fin avant début",IF(COUNTIFS($B$9:$B$208,B105,$C$9:$C$208,C105,$E$9:$E$208,E105)&gt;1,"⚠ Doublon","✓")))</f>
        <v/>
      </c>
    </row>
    <row r="106" spans="2:8" ht="21" customHeight="1" x14ac:dyDescent="0.25">
      <c r="B106" s="43"/>
      <c r="C106" s="43"/>
      <c r="D106" s="44" t="str">
        <f>IF(B106="","",IFERROR(INDEX('03 Personnes'!$D$9:$D$158,MATCH(B106,'03 Personnes'!$B$9:$B$158,0)),"—"))</f>
        <v/>
      </c>
      <c r="E106" s="46"/>
      <c r="F106" s="46"/>
      <c r="G106" s="44" t="str">
        <f t="shared" ca="1" si="6"/>
        <v/>
      </c>
      <c r="H106" s="45" t="str">
        <f t="shared" si="7"/>
        <v/>
      </c>
    </row>
    <row r="107" spans="2:8" ht="21" customHeight="1" x14ac:dyDescent="0.25">
      <c r="B107" s="43"/>
      <c r="C107" s="43"/>
      <c r="D107" s="44" t="str">
        <f>IF(B107="","",IFERROR(INDEX('03 Personnes'!$D$9:$D$158,MATCH(B107,'03 Personnes'!$B$9:$B$158,0)),"—"))</f>
        <v/>
      </c>
      <c r="E107" s="46"/>
      <c r="F107" s="46"/>
      <c r="G107" s="44" t="str">
        <f t="shared" ca="1" si="6"/>
        <v/>
      </c>
      <c r="H107" s="45" t="str">
        <f t="shared" si="7"/>
        <v/>
      </c>
    </row>
    <row r="108" spans="2:8" ht="21" customHeight="1" x14ac:dyDescent="0.25">
      <c r="B108" s="43"/>
      <c r="C108" s="43"/>
      <c r="D108" s="44" t="str">
        <f>IF(B108="","",IFERROR(INDEX('03 Personnes'!$D$9:$D$158,MATCH(B108,'03 Personnes'!$B$9:$B$158,0)),"—"))</f>
        <v/>
      </c>
      <c r="E108" s="46"/>
      <c r="F108" s="46"/>
      <c r="G108" s="44" t="str">
        <f t="shared" ca="1" si="6"/>
        <v/>
      </c>
      <c r="H108" s="45" t="str">
        <f t="shared" si="7"/>
        <v/>
      </c>
    </row>
    <row r="109" spans="2:8" ht="21" customHeight="1" x14ac:dyDescent="0.25">
      <c r="B109" s="43"/>
      <c r="C109" s="43"/>
      <c r="D109" s="44" t="str">
        <f>IF(B109="","",IFERROR(INDEX('03 Personnes'!$D$9:$D$158,MATCH(B109,'03 Personnes'!$B$9:$B$158,0)),"—"))</f>
        <v/>
      </c>
      <c r="E109" s="46"/>
      <c r="F109" s="46"/>
      <c r="G109" s="44" t="str">
        <f t="shared" ca="1" si="6"/>
        <v/>
      </c>
      <c r="H109" s="45" t="str">
        <f t="shared" si="7"/>
        <v/>
      </c>
    </row>
    <row r="110" spans="2:8" ht="21" customHeight="1" x14ac:dyDescent="0.25">
      <c r="B110" s="43"/>
      <c r="C110" s="43"/>
      <c r="D110" s="44" t="str">
        <f>IF(B110="","",IFERROR(INDEX('03 Personnes'!$D$9:$D$158,MATCH(B110,'03 Personnes'!$B$9:$B$158,0)),"—"))</f>
        <v/>
      </c>
      <c r="E110" s="46"/>
      <c r="F110" s="46"/>
      <c r="G110" s="44" t="str">
        <f t="shared" ca="1" si="6"/>
        <v/>
      </c>
      <c r="H110" s="45" t="str">
        <f t="shared" si="7"/>
        <v/>
      </c>
    </row>
    <row r="111" spans="2:8" ht="21" customHeight="1" x14ac:dyDescent="0.25">
      <c r="B111" s="43"/>
      <c r="C111" s="43"/>
      <c r="D111" s="44" t="str">
        <f>IF(B111="","",IFERROR(INDEX('03 Personnes'!$D$9:$D$158,MATCH(B111,'03 Personnes'!$B$9:$B$158,0)),"—"))</f>
        <v/>
      </c>
      <c r="E111" s="46"/>
      <c r="F111" s="46"/>
      <c r="G111" s="44" t="str">
        <f t="shared" ca="1" si="6"/>
        <v/>
      </c>
      <c r="H111" s="45" t="str">
        <f t="shared" si="7"/>
        <v/>
      </c>
    </row>
    <row r="112" spans="2:8" ht="21" customHeight="1" x14ac:dyDescent="0.25">
      <c r="B112" s="43"/>
      <c r="C112" s="43"/>
      <c r="D112" s="44" t="str">
        <f>IF(B112="","",IFERROR(INDEX('03 Personnes'!$D$9:$D$158,MATCH(B112,'03 Personnes'!$B$9:$B$158,0)),"—"))</f>
        <v/>
      </c>
      <c r="E112" s="46"/>
      <c r="F112" s="46"/>
      <c r="G112" s="44" t="str">
        <f t="shared" ca="1" si="6"/>
        <v/>
      </c>
      <c r="H112" s="45" t="str">
        <f t="shared" si="7"/>
        <v/>
      </c>
    </row>
    <row r="113" spans="2:8" ht="21" customHeight="1" x14ac:dyDescent="0.25">
      <c r="B113" s="43"/>
      <c r="C113" s="43"/>
      <c r="D113" s="44" t="str">
        <f>IF(B113="","",IFERROR(INDEX('03 Personnes'!$D$9:$D$158,MATCH(B113,'03 Personnes'!$B$9:$B$158,0)),"—"))</f>
        <v/>
      </c>
      <c r="E113" s="46"/>
      <c r="F113" s="46"/>
      <c r="G113" s="44" t="str">
        <f t="shared" ca="1" si="6"/>
        <v/>
      </c>
      <c r="H113" s="45" t="str">
        <f t="shared" si="7"/>
        <v/>
      </c>
    </row>
    <row r="114" spans="2:8" ht="21" customHeight="1" x14ac:dyDescent="0.25">
      <c r="B114" s="43"/>
      <c r="C114" s="43"/>
      <c r="D114" s="44" t="str">
        <f>IF(B114="","",IFERROR(INDEX('03 Personnes'!$D$9:$D$158,MATCH(B114,'03 Personnes'!$B$9:$B$158,0)),"—"))</f>
        <v/>
      </c>
      <c r="E114" s="46"/>
      <c r="F114" s="46"/>
      <c r="G114" s="44" t="str">
        <f t="shared" ca="1" si="6"/>
        <v/>
      </c>
      <c r="H114" s="45" t="str">
        <f t="shared" si="7"/>
        <v/>
      </c>
    </row>
    <row r="115" spans="2:8" ht="21" customHeight="1" x14ac:dyDescent="0.25">
      <c r="B115" s="43"/>
      <c r="C115" s="43"/>
      <c r="D115" s="44" t="str">
        <f>IF(B115="","",IFERROR(INDEX('03 Personnes'!$D$9:$D$158,MATCH(B115,'03 Personnes'!$B$9:$B$158,0)),"—"))</f>
        <v/>
      </c>
      <c r="E115" s="46"/>
      <c r="F115" s="46"/>
      <c r="G115" s="44" t="str">
        <f t="shared" ca="1" si="6"/>
        <v/>
      </c>
      <c r="H115" s="45" t="str">
        <f t="shared" si="7"/>
        <v/>
      </c>
    </row>
    <row r="116" spans="2:8" ht="21" customHeight="1" x14ac:dyDescent="0.25">
      <c r="B116" s="43"/>
      <c r="C116" s="43"/>
      <c r="D116" s="44" t="str">
        <f>IF(B116="","",IFERROR(INDEX('03 Personnes'!$D$9:$D$158,MATCH(B116,'03 Personnes'!$B$9:$B$158,0)),"—"))</f>
        <v/>
      </c>
      <c r="E116" s="46"/>
      <c r="F116" s="46"/>
      <c r="G116" s="44" t="str">
        <f t="shared" ca="1" si="6"/>
        <v/>
      </c>
      <c r="H116" s="45" t="str">
        <f t="shared" si="7"/>
        <v/>
      </c>
    </row>
    <row r="117" spans="2:8" ht="21" customHeight="1" x14ac:dyDescent="0.25">
      <c r="B117" s="43"/>
      <c r="C117" s="43"/>
      <c r="D117" s="44" t="str">
        <f>IF(B117="","",IFERROR(INDEX('03 Personnes'!$D$9:$D$158,MATCH(B117,'03 Personnes'!$B$9:$B$158,0)),"—"))</f>
        <v/>
      </c>
      <c r="E117" s="46"/>
      <c r="F117" s="46"/>
      <c r="G117" s="44" t="str">
        <f t="shared" ca="1" si="6"/>
        <v/>
      </c>
      <c r="H117" s="45" t="str">
        <f t="shared" si="7"/>
        <v/>
      </c>
    </row>
    <row r="118" spans="2:8" ht="21" customHeight="1" x14ac:dyDescent="0.25">
      <c r="B118" s="43"/>
      <c r="C118" s="43"/>
      <c r="D118" s="44" t="str">
        <f>IF(B118="","",IFERROR(INDEX('03 Personnes'!$D$9:$D$158,MATCH(B118,'03 Personnes'!$B$9:$B$158,0)),"—"))</f>
        <v/>
      </c>
      <c r="E118" s="46"/>
      <c r="F118" s="46"/>
      <c r="G118" s="44" t="str">
        <f t="shared" ca="1" si="6"/>
        <v/>
      </c>
      <c r="H118" s="45" t="str">
        <f t="shared" si="7"/>
        <v/>
      </c>
    </row>
    <row r="119" spans="2:8" ht="21" customHeight="1" x14ac:dyDescent="0.25">
      <c r="B119" s="43"/>
      <c r="C119" s="43"/>
      <c r="D119" s="44" t="str">
        <f>IF(B119="","",IFERROR(INDEX('03 Personnes'!$D$9:$D$158,MATCH(B119,'03 Personnes'!$B$9:$B$158,0)),"—"))</f>
        <v/>
      </c>
      <c r="E119" s="46"/>
      <c r="F119" s="46"/>
      <c r="G119" s="44" t="str">
        <f t="shared" ca="1" si="6"/>
        <v/>
      </c>
      <c r="H119" s="45" t="str">
        <f t="shared" si="7"/>
        <v/>
      </c>
    </row>
    <row r="120" spans="2:8" ht="21" customHeight="1" x14ac:dyDescent="0.25">
      <c r="B120" s="43"/>
      <c r="C120" s="43"/>
      <c r="D120" s="44" t="str">
        <f>IF(B120="","",IFERROR(INDEX('03 Personnes'!$D$9:$D$158,MATCH(B120,'03 Personnes'!$B$9:$B$158,0)),"—"))</f>
        <v/>
      </c>
      <c r="E120" s="46"/>
      <c r="F120" s="46"/>
      <c r="G120" s="44" t="str">
        <f t="shared" ca="1" si="6"/>
        <v/>
      </c>
      <c r="H120" s="45" t="str">
        <f t="shared" si="7"/>
        <v/>
      </c>
    </row>
    <row r="121" spans="2:8" ht="21" customHeight="1" x14ac:dyDescent="0.25">
      <c r="B121" s="43"/>
      <c r="C121" s="43"/>
      <c r="D121" s="44" t="str">
        <f>IF(B121="","",IFERROR(INDEX('03 Personnes'!$D$9:$D$158,MATCH(B121,'03 Personnes'!$B$9:$B$158,0)),"—"))</f>
        <v/>
      </c>
      <c r="E121" s="46"/>
      <c r="F121" s="46"/>
      <c r="G121" s="44" t="str">
        <f t="shared" ca="1" si="6"/>
        <v/>
      </c>
      <c r="H121" s="45" t="str">
        <f t="shared" si="7"/>
        <v/>
      </c>
    </row>
    <row r="122" spans="2:8" ht="21" customHeight="1" x14ac:dyDescent="0.25">
      <c r="B122" s="43"/>
      <c r="C122" s="43"/>
      <c r="D122" s="44" t="str">
        <f>IF(B122="","",IFERROR(INDEX('03 Personnes'!$D$9:$D$158,MATCH(B122,'03 Personnes'!$B$9:$B$158,0)),"—"))</f>
        <v/>
      </c>
      <c r="E122" s="46"/>
      <c r="F122" s="46"/>
      <c r="G122" s="44" t="str">
        <f t="shared" ca="1" si="6"/>
        <v/>
      </c>
      <c r="H122" s="45" t="str">
        <f t="shared" si="7"/>
        <v/>
      </c>
    </row>
    <row r="123" spans="2:8" ht="21" customHeight="1" x14ac:dyDescent="0.25">
      <c r="B123" s="43"/>
      <c r="C123" s="43"/>
      <c r="D123" s="44" t="str">
        <f>IF(B123="","",IFERROR(INDEX('03 Personnes'!$D$9:$D$158,MATCH(B123,'03 Personnes'!$B$9:$B$158,0)),"—"))</f>
        <v/>
      </c>
      <c r="E123" s="46"/>
      <c r="F123" s="46"/>
      <c r="G123" s="44" t="str">
        <f t="shared" ca="1" si="6"/>
        <v/>
      </c>
      <c r="H123" s="45" t="str">
        <f t="shared" si="7"/>
        <v/>
      </c>
    </row>
    <row r="124" spans="2:8" ht="21" customHeight="1" x14ac:dyDescent="0.25">
      <c r="B124" s="43"/>
      <c r="C124" s="43"/>
      <c r="D124" s="44" t="str">
        <f>IF(B124="","",IFERROR(INDEX('03 Personnes'!$D$9:$D$158,MATCH(B124,'03 Personnes'!$B$9:$B$158,0)),"—"))</f>
        <v/>
      </c>
      <c r="E124" s="46"/>
      <c r="F124" s="46"/>
      <c r="G124" s="44" t="str">
        <f t="shared" ca="1" si="6"/>
        <v/>
      </c>
      <c r="H124" s="45" t="str">
        <f t="shared" si="7"/>
        <v/>
      </c>
    </row>
    <row r="125" spans="2:8" ht="21" customHeight="1" x14ac:dyDescent="0.25">
      <c r="B125" s="43"/>
      <c r="C125" s="43"/>
      <c r="D125" s="44" t="str">
        <f>IF(B125="","",IFERROR(INDEX('03 Personnes'!$D$9:$D$158,MATCH(B125,'03 Personnes'!$B$9:$B$158,0)),"—"))</f>
        <v/>
      </c>
      <c r="E125" s="46"/>
      <c r="F125" s="46"/>
      <c r="G125" s="44" t="str">
        <f t="shared" ca="1" si="6"/>
        <v/>
      </c>
      <c r="H125" s="45" t="str">
        <f t="shared" si="7"/>
        <v/>
      </c>
    </row>
    <row r="126" spans="2:8" ht="21" customHeight="1" x14ac:dyDescent="0.25">
      <c r="B126" s="43"/>
      <c r="C126" s="43"/>
      <c r="D126" s="44" t="str">
        <f>IF(B126="","",IFERROR(INDEX('03 Personnes'!$D$9:$D$158,MATCH(B126,'03 Personnes'!$B$9:$B$158,0)),"—"))</f>
        <v/>
      </c>
      <c r="E126" s="46"/>
      <c r="F126" s="46"/>
      <c r="G126" s="44" t="str">
        <f t="shared" ca="1" si="6"/>
        <v/>
      </c>
      <c r="H126" s="45" t="str">
        <f t="shared" si="7"/>
        <v/>
      </c>
    </row>
    <row r="127" spans="2:8" ht="21" customHeight="1" x14ac:dyDescent="0.25">
      <c r="B127" s="43"/>
      <c r="C127" s="43"/>
      <c r="D127" s="44" t="str">
        <f>IF(B127="","",IFERROR(INDEX('03 Personnes'!$D$9:$D$158,MATCH(B127,'03 Personnes'!$B$9:$B$158,0)),"—"))</f>
        <v/>
      </c>
      <c r="E127" s="46"/>
      <c r="F127" s="46"/>
      <c r="G127" s="44" t="str">
        <f t="shared" ca="1" si="6"/>
        <v/>
      </c>
      <c r="H127" s="45" t="str">
        <f t="shared" si="7"/>
        <v/>
      </c>
    </row>
    <row r="128" spans="2:8" ht="21" customHeight="1" x14ac:dyDescent="0.25">
      <c r="B128" s="43"/>
      <c r="C128" s="43"/>
      <c r="D128" s="44" t="str">
        <f>IF(B128="","",IFERROR(INDEX('03 Personnes'!$D$9:$D$158,MATCH(B128,'03 Personnes'!$B$9:$B$158,0)),"—"))</f>
        <v/>
      </c>
      <c r="E128" s="46"/>
      <c r="F128" s="46"/>
      <c r="G128" s="44" t="str">
        <f t="shared" ca="1" si="6"/>
        <v/>
      </c>
      <c r="H128" s="45" t="str">
        <f t="shared" si="7"/>
        <v/>
      </c>
    </row>
    <row r="129" spans="2:8" ht="21" customHeight="1" x14ac:dyDescent="0.25">
      <c r="B129" s="43"/>
      <c r="C129" s="43"/>
      <c r="D129" s="44" t="str">
        <f>IF(B129="","",IFERROR(INDEX('03 Personnes'!$D$9:$D$158,MATCH(B129,'03 Personnes'!$B$9:$B$158,0)),"—"))</f>
        <v/>
      </c>
      <c r="E129" s="46"/>
      <c r="F129" s="46"/>
      <c r="G129" s="44" t="str">
        <f t="shared" ca="1" si="6"/>
        <v/>
      </c>
      <c r="H129" s="45" t="str">
        <f t="shared" si="7"/>
        <v/>
      </c>
    </row>
    <row r="130" spans="2:8" ht="21" customHeight="1" x14ac:dyDescent="0.25">
      <c r="B130" s="43"/>
      <c r="C130" s="43"/>
      <c r="D130" s="44" t="str">
        <f>IF(B130="","",IFERROR(INDEX('03 Personnes'!$D$9:$D$158,MATCH(B130,'03 Personnes'!$B$9:$B$158,0)),"—"))</f>
        <v/>
      </c>
      <c r="E130" s="46"/>
      <c r="F130" s="46"/>
      <c r="G130" s="44" t="str">
        <f t="shared" ca="1" si="6"/>
        <v/>
      </c>
      <c r="H130" s="45" t="str">
        <f t="shared" si="7"/>
        <v/>
      </c>
    </row>
    <row r="131" spans="2:8" ht="21" customHeight="1" x14ac:dyDescent="0.25">
      <c r="B131" s="43"/>
      <c r="C131" s="43"/>
      <c r="D131" s="44" t="str">
        <f>IF(B131="","",IFERROR(INDEX('03 Personnes'!$D$9:$D$158,MATCH(B131,'03 Personnes'!$B$9:$B$158,0)),"—"))</f>
        <v/>
      </c>
      <c r="E131" s="46"/>
      <c r="F131" s="46"/>
      <c r="G131" s="44" t="str">
        <f t="shared" ca="1" si="6"/>
        <v/>
      </c>
      <c r="H131" s="45" t="str">
        <f t="shared" si="7"/>
        <v/>
      </c>
    </row>
    <row r="132" spans="2:8" ht="21" customHeight="1" x14ac:dyDescent="0.25">
      <c r="B132" s="43"/>
      <c r="C132" s="43"/>
      <c r="D132" s="44" t="str">
        <f>IF(B132="","",IFERROR(INDEX('03 Personnes'!$D$9:$D$158,MATCH(B132,'03 Personnes'!$B$9:$B$158,0)),"—"))</f>
        <v/>
      </c>
      <c r="E132" s="46"/>
      <c r="F132" s="46"/>
      <c r="G132" s="44" t="str">
        <f t="shared" ca="1" si="6"/>
        <v/>
      </c>
      <c r="H132" s="45" t="str">
        <f t="shared" si="7"/>
        <v/>
      </c>
    </row>
    <row r="133" spans="2:8" ht="21" customHeight="1" x14ac:dyDescent="0.25">
      <c r="B133" s="43"/>
      <c r="C133" s="43"/>
      <c r="D133" s="44" t="str">
        <f>IF(B133="","",IFERROR(INDEX('03 Personnes'!$D$9:$D$158,MATCH(B133,'03 Personnes'!$B$9:$B$158,0)),"—"))</f>
        <v/>
      </c>
      <c r="E133" s="46"/>
      <c r="F133" s="46"/>
      <c r="G133" s="44" t="str">
        <f t="shared" ca="1" si="6"/>
        <v/>
      </c>
      <c r="H133" s="45" t="str">
        <f t="shared" si="7"/>
        <v/>
      </c>
    </row>
    <row r="134" spans="2:8" ht="21" customHeight="1" x14ac:dyDescent="0.25">
      <c r="B134" s="43"/>
      <c r="C134" s="43"/>
      <c r="D134" s="44" t="str">
        <f>IF(B134="","",IFERROR(INDEX('03 Personnes'!$D$9:$D$158,MATCH(B134,'03 Personnes'!$B$9:$B$158,0)),"—"))</f>
        <v/>
      </c>
      <c r="E134" s="46"/>
      <c r="F134" s="46"/>
      <c r="G134" s="44" t="str">
        <f t="shared" ca="1" si="6"/>
        <v/>
      </c>
      <c r="H134" s="45" t="str">
        <f t="shared" si="7"/>
        <v/>
      </c>
    </row>
    <row r="135" spans="2:8" ht="21" customHeight="1" x14ac:dyDescent="0.25">
      <c r="B135" s="43"/>
      <c r="C135" s="43"/>
      <c r="D135" s="44" t="str">
        <f>IF(B135="","",IFERROR(INDEX('03 Personnes'!$D$9:$D$158,MATCH(B135,'03 Personnes'!$B$9:$B$158,0)),"—"))</f>
        <v/>
      </c>
      <c r="E135" s="46"/>
      <c r="F135" s="46"/>
      <c r="G135" s="44" t="str">
        <f t="shared" ca="1" si="6"/>
        <v/>
      </c>
      <c r="H135" s="45" t="str">
        <f t="shared" si="7"/>
        <v/>
      </c>
    </row>
    <row r="136" spans="2:8" ht="21" customHeight="1" x14ac:dyDescent="0.25">
      <c r="B136" s="43"/>
      <c r="C136" s="43"/>
      <c r="D136" s="44" t="str">
        <f>IF(B136="","",IFERROR(INDEX('03 Personnes'!$D$9:$D$158,MATCH(B136,'03 Personnes'!$B$9:$B$158,0)),"—"))</f>
        <v/>
      </c>
      <c r="E136" s="46"/>
      <c r="F136" s="46"/>
      <c r="G136" s="44" t="str">
        <f t="shared" ca="1" si="6"/>
        <v/>
      </c>
      <c r="H136" s="45" t="str">
        <f t="shared" si="7"/>
        <v/>
      </c>
    </row>
    <row r="137" spans="2:8" ht="21" customHeight="1" x14ac:dyDescent="0.25">
      <c r="B137" s="43"/>
      <c r="C137" s="43"/>
      <c r="D137" s="44" t="str">
        <f>IF(B137="","",IFERROR(INDEX('03 Personnes'!$D$9:$D$158,MATCH(B137,'03 Personnes'!$B$9:$B$158,0)),"—"))</f>
        <v/>
      </c>
      <c r="E137" s="46"/>
      <c r="F137" s="46"/>
      <c r="G137" s="44" t="str">
        <f t="shared" ref="G137:G168" ca="1" si="8">IF(B137="","",IF(OR(F137="",F137&gt;=TODAY()),"Oui","Non"))</f>
        <v/>
      </c>
      <c r="H137" s="45" t="str">
        <f t="shared" ref="H137:H168" si="9">IF(B137="","",IF(AND(E137&lt;&gt;"",F137&lt;&gt;"",F137&lt;E137),"⚠ Fin avant début",IF(COUNTIFS($B$9:$B$208,B137,$C$9:$C$208,C137,$E$9:$E$208,E137)&gt;1,"⚠ Doublon","✓")))</f>
        <v/>
      </c>
    </row>
    <row r="138" spans="2:8" ht="21" customHeight="1" x14ac:dyDescent="0.25">
      <c r="B138" s="43"/>
      <c r="C138" s="43"/>
      <c r="D138" s="44" t="str">
        <f>IF(B138="","",IFERROR(INDEX('03 Personnes'!$D$9:$D$158,MATCH(B138,'03 Personnes'!$B$9:$B$158,0)),"—"))</f>
        <v/>
      </c>
      <c r="E138" s="46"/>
      <c r="F138" s="46"/>
      <c r="G138" s="44" t="str">
        <f t="shared" ca="1" si="8"/>
        <v/>
      </c>
      <c r="H138" s="45" t="str">
        <f t="shared" si="9"/>
        <v/>
      </c>
    </row>
    <row r="139" spans="2:8" ht="21" customHeight="1" x14ac:dyDescent="0.25">
      <c r="B139" s="43"/>
      <c r="C139" s="43"/>
      <c r="D139" s="44" t="str">
        <f>IF(B139="","",IFERROR(INDEX('03 Personnes'!$D$9:$D$158,MATCH(B139,'03 Personnes'!$B$9:$B$158,0)),"—"))</f>
        <v/>
      </c>
      <c r="E139" s="46"/>
      <c r="F139" s="46"/>
      <c r="G139" s="44" t="str">
        <f t="shared" ca="1" si="8"/>
        <v/>
      </c>
      <c r="H139" s="45" t="str">
        <f t="shared" si="9"/>
        <v/>
      </c>
    </row>
    <row r="140" spans="2:8" ht="21" customHeight="1" x14ac:dyDescent="0.25">
      <c r="B140" s="43"/>
      <c r="C140" s="43"/>
      <c r="D140" s="44" t="str">
        <f>IF(B140="","",IFERROR(INDEX('03 Personnes'!$D$9:$D$158,MATCH(B140,'03 Personnes'!$B$9:$B$158,0)),"—"))</f>
        <v/>
      </c>
      <c r="E140" s="46"/>
      <c r="F140" s="46"/>
      <c r="G140" s="44" t="str">
        <f t="shared" ca="1" si="8"/>
        <v/>
      </c>
      <c r="H140" s="45" t="str">
        <f t="shared" si="9"/>
        <v/>
      </c>
    </row>
    <row r="141" spans="2:8" ht="21" customHeight="1" x14ac:dyDescent="0.25">
      <c r="B141" s="43"/>
      <c r="C141" s="43"/>
      <c r="D141" s="44" t="str">
        <f>IF(B141="","",IFERROR(INDEX('03 Personnes'!$D$9:$D$158,MATCH(B141,'03 Personnes'!$B$9:$B$158,0)),"—"))</f>
        <v/>
      </c>
      <c r="E141" s="46"/>
      <c r="F141" s="46"/>
      <c r="G141" s="44" t="str">
        <f t="shared" ca="1" si="8"/>
        <v/>
      </c>
      <c r="H141" s="45" t="str">
        <f t="shared" si="9"/>
        <v/>
      </c>
    </row>
    <row r="142" spans="2:8" ht="21" customHeight="1" x14ac:dyDescent="0.25">
      <c r="B142" s="43"/>
      <c r="C142" s="43"/>
      <c r="D142" s="44" t="str">
        <f>IF(B142="","",IFERROR(INDEX('03 Personnes'!$D$9:$D$158,MATCH(B142,'03 Personnes'!$B$9:$B$158,0)),"—"))</f>
        <v/>
      </c>
      <c r="E142" s="46"/>
      <c r="F142" s="46"/>
      <c r="G142" s="44" t="str">
        <f t="shared" ca="1" si="8"/>
        <v/>
      </c>
      <c r="H142" s="45" t="str">
        <f t="shared" si="9"/>
        <v/>
      </c>
    </row>
    <row r="143" spans="2:8" ht="21" customHeight="1" x14ac:dyDescent="0.25">
      <c r="B143" s="43"/>
      <c r="C143" s="43"/>
      <c r="D143" s="44" t="str">
        <f>IF(B143="","",IFERROR(INDEX('03 Personnes'!$D$9:$D$158,MATCH(B143,'03 Personnes'!$B$9:$B$158,0)),"—"))</f>
        <v/>
      </c>
      <c r="E143" s="46"/>
      <c r="F143" s="46"/>
      <c r="G143" s="44" t="str">
        <f t="shared" ca="1" si="8"/>
        <v/>
      </c>
      <c r="H143" s="45" t="str">
        <f t="shared" si="9"/>
        <v/>
      </c>
    </row>
    <row r="144" spans="2:8" ht="21" customHeight="1" x14ac:dyDescent="0.25">
      <c r="B144" s="43"/>
      <c r="C144" s="43"/>
      <c r="D144" s="44" t="str">
        <f>IF(B144="","",IFERROR(INDEX('03 Personnes'!$D$9:$D$158,MATCH(B144,'03 Personnes'!$B$9:$B$158,0)),"—"))</f>
        <v/>
      </c>
      <c r="E144" s="46"/>
      <c r="F144" s="46"/>
      <c r="G144" s="44" t="str">
        <f t="shared" ca="1" si="8"/>
        <v/>
      </c>
      <c r="H144" s="45" t="str">
        <f t="shared" si="9"/>
        <v/>
      </c>
    </row>
    <row r="145" spans="2:8" ht="21" customHeight="1" x14ac:dyDescent="0.25">
      <c r="B145" s="43"/>
      <c r="C145" s="43"/>
      <c r="D145" s="44" t="str">
        <f>IF(B145="","",IFERROR(INDEX('03 Personnes'!$D$9:$D$158,MATCH(B145,'03 Personnes'!$B$9:$B$158,0)),"—"))</f>
        <v/>
      </c>
      <c r="E145" s="46"/>
      <c r="F145" s="46"/>
      <c r="G145" s="44" t="str">
        <f t="shared" ca="1" si="8"/>
        <v/>
      </c>
      <c r="H145" s="45" t="str">
        <f t="shared" si="9"/>
        <v/>
      </c>
    </row>
    <row r="146" spans="2:8" ht="21" customHeight="1" x14ac:dyDescent="0.25">
      <c r="B146" s="43"/>
      <c r="C146" s="43"/>
      <c r="D146" s="44" t="str">
        <f>IF(B146="","",IFERROR(INDEX('03 Personnes'!$D$9:$D$158,MATCH(B146,'03 Personnes'!$B$9:$B$158,0)),"—"))</f>
        <v/>
      </c>
      <c r="E146" s="46"/>
      <c r="F146" s="46"/>
      <c r="G146" s="44" t="str">
        <f t="shared" ca="1" si="8"/>
        <v/>
      </c>
      <c r="H146" s="45" t="str">
        <f t="shared" si="9"/>
        <v/>
      </c>
    </row>
    <row r="147" spans="2:8" ht="21" customHeight="1" x14ac:dyDescent="0.25">
      <c r="B147" s="43"/>
      <c r="C147" s="43"/>
      <c r="D147" s="44" t="str">
        <f>IF(B147="","",IFERROR(INDEX('03 Personnes'!$D$9:$D$158,MATCH(B147,'03 Personnes'!$B$9:$B$158,0)),"—"))</f>
        <v/>
      </c>
      <c r="E147" s="46"/>
      <c r="F147" s="46"/>
      <c r="G147" s="44" t="str">
        <f t="shared" ca="1" si="8"/>
        <v/>
      </c>
      <c r="H147" s="45" t="str">
        <f t="shared" si="9"/>
        <v/>
      </c>
    </row>
    <row r="148" spans="2:8" ht="21" customHeight="1" x14ac:dyDescent="0.25">
      <c r="B148" s="43"/>
      <c r="C148" s="43"/>
      <c r="D148" s="44" t="str">
        <f>IF(B148="","",IFERROR(INDEX('03 Personnes'!$D$9:$D$158,MATCH(B148,'03 Personnes'!$B$9:$B$158,0)),"—"))</f>
        <v/>
      </c>
      <c r="E148" s="46"/>
      <c r="F148" s="46"/>
      <c r="G148" s="44" t="str">
        <f t="shared" ca="1" si="8"/>
        <v/>
      </c>
      <c r="H148" s="45" t="str">
        <f t="shared" si="9"/>
        <v/>
      </c>
    </row>
    <row r="149" spans="2:8" ht="21" customHeight="1" x14ac:dyDescent="0.25">
      <c r="B149" s="43"/>
      <c r="C149" s="43"/>
      <c r="D149" s="44" t="str">
        <f>IF(B149="","",IFERROR(INDEX('03 Personnes'!$D$9:$D$158,MATCH(B149,'03 Personnes'!$B$9:$B$158,0)),"—"))</f>
        <v/>
      </c>
      <c r="E149" s="46"/>
      <c r="F149" s="46"/>
      <c r="G149" s="44" t="str">
        <f t="shared" ca="1" si="8"/>
        <v/>
      </c>
      <c r="H149" s="45" t="str">
        <f t="shared" si="9"/>
        <v/>
      </c>
    </row>
    <row r="150" spans="2:8" ht="21" customHeight="1" x14ac:dyDescent="0.25">
      <c r="B150" s="43"/>
      <c r="C150" s="43"/>
      <c r="D150" s="44" t="str">
        <f>IF(B150="","",IFERROR(INDEX('03 Personnes'!$D$9:$D$158,MATCH(B150,'03 Personnes'!$B$9:$B$158,0)),"—"))</f>
        <v/>
      </c>
      <c r="E150" s="46"/>
      <c r="F150" s="46"/>
      <c r="G150" s="44" t="str">
        <f t="shared" ca="1" si="8"/>
        <v/>
      </c>
      <c r="H150" s="45" t="str">
        <f t="shared" si="9"/>
        <v/>
      </c>
    </row>
    <row r="151" spans="2:8" ht="21" customHeight="1" x14ac:dyDescent="0.25">
      <c r="B151" s="43"/>
      <c r="C151" s="43"/>
      <c r="D151" s="44" t="str">
        <f>IF(B151="","",IFERROR(INDEX('03 Personnes'!$D$9:$D$158,MATCH(B151,'03 Personnes'!$B$9:$B$158,0)),"—"))</f>
        <v/>
      </c>
      <c r="E151" s="46"/>
      <c r="F151" s="46"/>
      <c r="G151" s="44" t="str">
        <f t="shared" ca="1" si="8"/>
        <v/>
      </c>
      <c r="H151" s="45" t="str">
        <f t="shared" si="9"/>
        <v/>
      </c>
    </row>
    <row r="152" spans="2:8" ht="21" customHeight="1" x14ac:dyDescent="0.25">
      <c r="B152" s="43"/>
      <c r="C152" s="43"/>
      <c r="D152" s="44" t="str">
        <f>IF(B152="","",IFERROR(INDEX('03 Personnes'!$D$9:$D$158,MATCH(B152,'03 Personnes'!$B$9:$B$158,0)),"—"))</f>
        <v/>
      </c>
      <c r="E152" s="46"/>
      <c r="F152" s="46"/>
      <c r="G152" s="44" t="str">
        <f t="shared" ca="1" si="8"/>
        <v/>
      </c>
      <c r="H152" s="45" t="str">
        <f t="shared" si="9"/>
        <v/>
      </c>
    </row>
    <row r="153" spans="2:8" ht="21" customHeight="1" x14ac:dyDescent="0.25">
      <c r="B153" s="43"/>
      <c r="C153" s="43"/>
      <c r="D153" s="44" t="str">
        <f>IF(B153="","",IFERROR(INDEX('03 Personnes'!$D$9:$D$158,MATCH(B153,'03 Personnes'!$B$9:$B$158,0)),"—"))</f>
        <v/>
      </c>
      <c r="E153" s="46"/>
      <c r="F153" s="46"/>
      <c r="G153" s="44" t="str">
        <f t="shared" ca="1" si="8"/>
        <v/>
      </c>
      <c r="H153" s="45" t="str">
        <f t="shared" si="9"/>
        <v/>
      </c>
    </row>
    <row r="154" spans="2:8" ht="21" customHeight="1" x14ac:dyDescent="0.25">
      <c r="B154" s="43"/>
      <c r="C154" s="43"/>
      <c r="D154" s="44" t="str">
        <f>IF(B154="","",IFERROR(INDEX('03 Personnes'!$D$9:$D$158,MATCH(B154,'03 Personnes'!$B$9:$B$158,0)),"—"))</f>
        <v/>
      </c>
      <c r="E154" s="46"/>
      <c r="F154" s="46"/>
      <c r="G154" s="44" t="str">
        <f t="shared" ca="1" si="8"/>
        <v/>
      </c>
      <c r="H154" s="45" t="str">
        <f t="shared" si="9"/>
        <v/>
      </c>
    </row>
    <row r="155" spans="2:8" ht="21" customHeight="1" x14ac:dyDescent="0.25">
      <c r="B155" s="43"/>
      <c r="C155" s="43"/>
      <c r="D155" s="44" t="str">
        <f>IF(B155="","",IFERROR(INDEX('03 Personnes'!$D$9:$D$158,MATCH(B155,'03 Personnes'!$B$9:$B$158,0)),"—"))</f>
        <v/>
      </c>
      <c r="E155" s="46"/>
      <c r="F155" s="46"/>
      <c r="G155" s="44" t="str">
        <f t="shared" ca="1" si="8"/>
        <v/>
      </c>
      <c r="H155" s="45" t="str">
        <f t="shared" si="9"/>
        <v/>
      </c>
    </row>
    <row r="156" spans="2:8" ht="21" customHeight="1" x14ac:dyDescent="0.25">
      <c r="B156" s="43"/>
      <c r="C156" s="43"/>
      <c r="D156" s="44" t="str">
        <f>IF(B156="","",IFERROR(INDEX('03 Personnes'!$D$9:$D$158,MATCH(B156,'03 Personnes'!$B$9:$B$158,0)),"—"))</f>
        <v/>
      </c>
      <c r="E156" s="46"/>
      <c r="F156" s="46"/>
      <c r="G156" s="44" t="str">
        <f t="shared" ca="1" si="8"/>
        <v/>
      </c>
      <c r="H156" s="45" t="str">
        <f t="shared" si="9"/>
        <v/>
      </c>
    </row>
    <row r="157" spans="2:8" ht="21" customHeight="1" x14ac:dyDescent="0.25">
      <c r="B157" s="43"/>
      <c r="C157" s="43"/>
      <c r="D157" s="44" t="str">
        <f>IF(B157="","",IFERROR(INDEX('03 Personnes'!$D$9:$D$158,MATCH(B157,'03 Personnes'!$B$9:$B$158,0)),"—"))</f>
        <v/>
      </c>
      <c r="E157" s="46"/>
      <c r="F157" s="46"/>
      <c r="G157" s="44" t="str">
        <f t="shared" ca="1" si="8"/>
        <v/>
      </c>
      <c r="H157" s="45" t="str">
        <f t="shared" si="9"/>
        <v/>
      </c>
    </row>
    <row r="158" spans="2:8" ht="21" customHeight="1" x14ac:dyDescent="0.25">
      <c r="B158" s="43"/>
      <c r="C158" s="43"/>
      <c r="D158" s="44" t="str">
        <f>IF(B158="","",IFERROR(INDEX('03 Personnes'!$D$9:$D$158,MATCH(B158,'03 Personnes'!$B$9:$B$158,0)),"—"))</f>
        <v/>
      </c>
      <c r="E158" s="46"/>
      <c r="F158" s="46"/>
      <c r="G158" s="44" t="str">
        <f t="shared" ca="1" si="8"/>
        <v/>
      </c>
      <c r="H158" s="45" t="str">
        <f t="shared" si="9"/>
        <v/>
      </c>
    </row>
    <row r="159" spans="2:8" ht="21" customHeight="1" x14ac:dyDescent="0.25">
      <c r="B159" s="43"/>
      <c r="C159" s="43"/>
      <c r="D159" s="44" t="str">
        <f>IF(B159="","",IFERROR(INDEX('03 Personnes'!$D$9:$D$158,MATCH(B159,'03 Personnes'!$B$9:$B$158,0)),"—"))</f>
        <v/>
      </c>
      <c r="E159" s="46"/>
      <c r="F159" s="46"/>
      <c r="G159" s="44" t="str">
        <f t="shared" ca="1" si="8"/>
        <v/>
      </c>
      <c r="H159" s="45" t="str">
        <f t="shared" si="9"/>
        <v/>
      </c>
    </row>
    <row r="160" spans="2:8" ht="21" customHeight="1" x14ac:dyDescent="0.25">
      <c r="B160" s="43"/>
      <c r="C160" s="43"/>
      <c r="D160" s="44" t="str">
        <f>IF(B160="","",IFERROR(INDEX('03 Personnes'!$D$9:$D$158,MATCH(B160,'03 Personnes'!$B$9:$B$158,0)),"—"))</f>
        <v/>
      </c>
      <c r="E160" s="46"/>
      <c r="F160" s="46"/>
      <c r="G160" s="44" t="str">
        <f t="shared" ca="1" si="8"/>
        <v/>
      </c>
      <c r="H160" s="45" t="str">
        <f t="shared" si="9"/>
        <v/>
      </c>
    </row>
    <row r="161" spans="2:8" ht="21" customHeight="1" x14ac:dyDescent="0.25">
      <c r="B161" s="43"/>
      <c r="C161" s="43"/>
      <c r="D161" s="44" t="str">
        <f>IF(B161="","",IFERROR(INDEX('03 Personnes'!$D$9:$D$158,MATCH(B161,'03 Personnes'!$B$9:$B$158,0)),"—"))</f>
        <v/>
      </c>
      <c r="E161" s="46"/>
      <c r="F161" s="46"/>
      <c r="G161" s="44" t="str">
        <f t="shared" ca="1" si="8"/>
        <v/>
      </c>
      <c r="H161" s="45" t="str">
        <f t="shared" si="9"/>
        <v/>
      </c>
    </row>
    <row r="162" spans="2:8" ht="21" customHeight="1" x14ac:dyDescent="0.25">
      <c r="B162" s="43"/>
      <c r="C162" s="43"/>
      <c r="D162" s="44" t="str">
        <f>IF(B162="","",IFERROR(INDEX('03 Personnes'!$D$9:$D$158,MATCH(B162,'03 Personnes'!$B$9:$B$158,0)),"—"))</f>
        <v/>
      </c>
      <c r="E162" s="46"/>
      <c r="F162" s="46"/>
      <c r="G162" s="44" t="str">
        <f t="shared" ca="1" si="8"/>
        <v/>
      </c>
      <c r="H162" s="45" t="str">
        <f t="shared" si="9"/>
        <v/>
      </c>
    </row>
    <row r="163" spans="2:8" ht="21" customHeight="1" x14ac:dyDescent="0.25">
      <c r="B163" s="43"/>
      <c r="C163" s="43"/>
      <c r="D163" s="44" t="str">
        <f>IF(B163="","",IFERROR(INDEX('03 Personnes'!$D$9:$D$158,MATCH(B163,'03 Personnes'!$B$9:$B$158,0)),"—"))</f>
        <v/>
      </c>
      <c r="E163" s="46"/>
      <c r="F163" s="46"/>
      <c r="G163" s="44" t="str">
        <f t="shared" ca="1" si="8"/>
        <v/>
      </c>
      <c r="H163" s="45" t="str">
        <f t="shared" si="9"/>
        <v/>
      </c>
    </row>
    <row r="164" spans="2:8" ht="21" customHeight="1" x14ac:dyDescent="0.25">
      <c r="B164" s="43"/>
      <c r="C164" s="43"/>
      <c r="D164" s="44" t="str">
        <f>IF(B164="","",IFERROR(INDEX('03 Personnes'!$D$9:$D$158,MATCH(B164,'03 Personnes'!$B$9:$B$158,0)),"—"))</f>
        <v/>
      </c>
      <c r="E164" s="46"/>
      <c r="F164" s="46"/>
      <c r="G164" s="44" t="str">
        <f t="shared" ca="1" si="8"/>
        <v/>
      </c>
      <c r="H164" s="45" t="str">
        <f t="shared" si="9"/>
        <v/>
      </c>
    </row>
    <row r="165" spans="2:8" ht="21" customHeight="1" x14ac:dyDescent="0.25">
      <c r="B165" s="43"/>
      <c r="C165" s="43"/>
      <c r="D165" s="44" t="str">
        <f>IF(B165="","",IFERROR(INDEX('03 Personnes'!$D$9:$D$158,MATCH(B165,'03 Personnes'!$B$9:$B$158,0)),"—"))</f>
        <v/>
      </c>
      <c r="E165" s="46"/>
      <c r="F165" s="46"/>
      <c r="G165" s="44" t="str">
        <f t="shared" ca="1" si="8"/>
        <v/>
      </c>
      <c r="H165" s="45" t="str">
        <f t="shared" si="9"/>
        <v/>
      </c>
    </row>
    <row r="166" spans="2:8" ht="21" customHeight="1" x14ac:dyDescent="0.25">
      <c r="B166" s="43"/>
      <c r="C166" s="43"/>
      <c r="D166" s="44" t="str">
        <f>IF(B166="","",IFERROR(INDEX('03 Personnes'!$D$9:$D$158,MATCH(B166,'03 Personnes'!$B$9:$B$158,0)),"—"))</f>
        <v/>
      </c>
      <c r="E166" s="46"/>
      <c r="F166" s="46"/>
      <c r="G166" s="44" t="str">
        <f t="shared" ca="1" si="8"/>
        <v/>
      </c>
      <c r="H166" s="45" t="str">
        <f t="shared" si="9"/>
        <v/>
      </c>
    </row>
    <row r="167" spans="2:8" ht="21" customHeight="1" x14ac:dyDescent="0.25">
      <c r="B167" s="43"/>
      <c r="C167" s="43"/>
      <c r="D167" s="44" t="str">
        <f>IF(B167="","",IFERROR(INDEX('03 Personnes'!$D$9:$D$158,MATCH(B167,'03 Personnes'!$B$9:$B$158,0)),"—"))</f>
        <v/>
      </c>
      <c r="E167" s="46"/>
      <c r="F167" s="46"/>
      <c r="G167" s="44" t="str">
        <f t="shared" ca="1" si="8"/>
        <v/>
      </c>
      <c r="H167" s="45" t="str">
        <f t="shared" si="9"/>
        <v/>
      </c>
    </row>
    <row r="168" spans="2:8" ht="21" customHeight="1" x14ac:dyDescent="0.25">
      <c r="B168" s="43"/>
      <c r="C168" s="43"/>
      <c r="D168" s="44" t="str">
        <f>IF(B168="","",IFERROR(INDEX('03 Personnes'!$D$9:$D$158,MATCH(B168,'03 Personnes'!$B$9:$B$158,0)),"—"))</f>
        <v/>
      </c>
      <c r="E168" s="46"/>
      <c r="F168" s="46"/>
      <c r="G168" s="44" t="str">
        <f t="shared" ca="1" si="8"/>
        <v/>
      </c>
      <c r="H168" s="45" t="str">
        <f t="shared" si="9"/>
        <v/>
      </c>
    </row>
    <row r="169" spans="2:8" ht="21" customHeight="1" x14ac:dyDescent="0.25">
      <c r="B169" s="43"/>
      <c r="C169" s="43"/>
      <c r="D169" s="44" t="str">
        <f>IF(B169="","",IFERROR(INDEX('03 Personnes'!$D$9:$D$158,MATCH(B169,'03 Personnes'!$B$9:$B$158,0)),"—"))</f>
        <v/>
      </c>
      <c r="E169" s="46"/>
      <c r="F169" s="46"/>
      <c r="G169" s="44" t="str">
        <f t="shared" ref="G169:G200" ca="1" si="10">IF(B169="","",IF(OR(F169="",F169&gt;=TODAY()),"Oui","Non"))</f>
        <v/>
      </c>
      <c r="H169" s="45" t="str">
        <f t="shared" ref="H169:H200" si="11">IF(B169="","",IF(AND(E169&lt;&gt;"",F169&lt;&gt;"",F169&lt;E169),"⚠ Fin avant début",IF(COUNTIFS($B$9:$B$208,B169,$C$9:$C$208,C169,$E$9:$E$208,E169)&gt;1,"⚠ Doublon","✓")))</f>
        <v/>
      </c>
    </row>
    <row r="170" spans="2:8" ht="21" customHeight="1" x14ac:dyDescent="0.25">
      <c r="B170" s="43"/>
      <c r="C170" s="43"/>
      <c r="D170" s="44" t="str">
        <f>IF(B170="","",IFERROR(INDEX('03 Personnes'!$D$9:$D$158,MATCH(B170,'03 Personnes'!$B$9:$B$158,0)),"—"))</f>
        <v/>
      </c>
      <c r="E170" s="46"/>
      <c r="F170" s="46"/>
      <c r="G170" s="44" t="str">
        <f t="shared" ca="1" si="10"/>
        <v/>
      </c>
      <c r="H170" s="45" t="str">
        <f t="shared" si="11"/>
        <v/>
      </c>
    </row>
    <row r="171" spans="2:8" ht="21" customHeight="1" x14ac:dyDescent="0.25">
      <c r="B171" s="43"/>
      <c r="C171" s="43"/>
      <c r="D171" s="44" t="str">
        <f>IF(B171="","",IFERROR(INDEX('03 Personnes'!$D$9:$D$158,MATCH(B171,'03 Personnes'!$B$9:$B$158,0)),"—"))</f>
        <v/>
      </c>
      <c r="E171" s="46"/>
      <c r="F171" s="46"/>
      <c r="G171" s="44" t="str">
        <f t="shared" ca="1" si="10"/>
        <v/>
      </c>
      <c r="H171" s="45" t="str">
        <f t="shared" si="11"/>
        <v/>
      </c>
    </row>
    <row r="172" spans="2:8" ht="21" customHeight="1" x14ac:dyDescent="0.25">
      <c r="B172" s="43"/>
      <c r="C172" s="43"/>
      <c r="D172" s="44" t="str">
        <f>IF(B172="","",IFERROR(INDEX('03 Personnes'!$D$9:$D$158,MATCH(B172,'03 Personnes'!$B$9:$B$158,0)),"—"))</f>
        <v/>
      </c>
      <c r="E172" s="46"/>
      <c r="F172" s="46"/>
      <c r="G172" s="44" t="str">
        <f t="shared" ca="1" si="10"/>
        <v/>
      </c>
      <c r="H172" s="45" t="str">
        <f t="shared" si="11"/>
        <v/>
      </c>
    </row>
    <row r="173" spans="2:8" ht="21" customHeight="1" x14ac:dyDescent="0.25">
      <c r="B173" s="43"/>
      <c r="C173" s="43"/>
      <c r="D173" s="44" t="str">
        <f>IF(B173="","",IFERROR(INDEX('03 Personnes'!$D$9:$D$158,MATCH(B173,'03 Personnes'!$B$9:$B$158,0)),"—"))</f>
        <v/>
      </c>
      <c r="E173" s="46"/>
      <c r="F173" s="46"/>
      <c r="G173" s="44" t="str">
        <f t="shared" ca="1" si="10"/>
        <v/>
      </c>
      <c r="H173" s="45" t="str">
        <f t="shared" si="11"/>
        <v/>
      </c>
    </row>
    <row r="174" spans="2:8" ht="21" customHeight="1" x14ac:dyDescent="0.25">
      <c r="B174" s="43"/>
      <c r="C174" s="43"/>
      <c r="D174" s="44" t="str">
        <f>IF(B174="","",IFERROR(INDEX('03 Personnes'!$D$9:$D$158,MATCH(B174,'03 Personnes'!$B$9:$B$158,0)),"—"))</f>
        <v/>
      </c>
      <c r="E174" s="46"/>
      <c r="F174" s="46"/>
      <c r="G174" s="44" t="str">
        <f t="shared" ca="1" si="10"/>
        <v/>
      </c>
      <c r="H174" s="45" t="str">
        <f t="shared" si="11"/>
        <v/>
      </c>
    </row>
    <row r="175" spans="2:8" ht="21" customHeight="1" x14ac:dyDescent="0.25">
      <c r="B175" s="43"/>
      <c r="C175" s="43"/>
      <c r="D175" s="44" t="str">
        <f>IF(B175="","",IFERROR(INDEX('03 Personnes'!$D$9:$D$158,MATCH(B175,'03 Personnes'!$B$9:$B$158,0)),"—"))</f>
        <v/>
      </c>
      <c r="E175" s="46"/>
      <c r="F175" s="46"/>
      <c r="G175" s="44" t="str">
        <f t="shared" ca="1" si="10"/>
        <v/>
      </c>
      <c r="H175" s="45" t="str">
        <f t="shared" si="11"/>
        <v/>
      </c>
    </row>
    <row r="176" spans="2:8" ht="21" customHeight="1" x14ac:dyDescent="0.25">
      <c r="B176" s="43"/>
      <c r="C176" s="43"/>
      <c r="D176" s="44" t="str">
        <f>IF(B176="","",IFERROR(INDEX('03 Personnes'!$D$9:$D$158,MATCH(B176,'03 Personnes'!$B$9:$B$158,0)),"—"))</f>
        <v/>
      </c>
      <c r="E176" s="46"/>
      <c r="F176" s="46"/>
      <c r="G176" s="44" t="str">
        <f t="shared" ca="1" si="10"/>
        <v/>
      </c>
      <c r="H176" s="45" t="str">
        <f t="shared" si="11"/>
        <v/>
      </c>
    </row>
    <row r="177" spans="2:8" ht="21" customHeight="1" x14ac:dyDescent="0.25">
      <c r="B177" s="43"/>
      <c r="C177" s="43"/>
      <c r="D177" s="44" t="str">
        <f>IF(B177="","",IFERROR(INDEX('03 Personnes'!$D$9:$D$158,MATCH(B177,'03 Personnes'!$B$9:$B$158,0)),"—"))</f>
        <v/>
      </c>
      <c r="E177" s="46"/>
      <c r="F177" s="46"/>
      <c r="G177" s="44" t="str">
        <f t="shared" ca="1" si="10"/>
        <v/>
      </c>
      <c r="H177" s="45" t="str">
        <f t="shared" si="11"/>
        <v/>
      </c>
    </row>
    <row r="178" spans="2:8" ht="21" customHeight="1" x14ac:dyDescent="0.25">
      <c r="B178" s="43"/>
      <c r="C178" s="43"/>
      <c r="D178" s="44" t="str">
        <f>IF(B178="","",IFERROR(INDEX('03 Personnes'!$D$9:$D$158,MATCH(B178,'03 Personnes'!$B$9:$B$158,0)),"—"))</f>
        <v/>
      </c>
      <c r="E178" s="46"/>
      <c r="F178" s="46"/>
      <c r="G178" s="44" t="str">
        <f t="shared" ca="1" si="10"/>
        <v/>
      </c>
      <c r="H178" s="45" t="str">
        <f t="shared" si="11"/>
        <v/>
      </c>
    </row>
    <row r="179" spans="2:8" ht="21" customHeight="1" x14ac:dyDescent="0.25">
      <c r="B179" s="43"/>
      <c r="C179" s="43"/>
      <c r="D179" s="44" t="str">
        <f>IF(B179="","",IFERROR(INDEX('03 Personnes'!$D$9:$D$158,MATCH(B179,'03 Personnes'!$B$9:$B$158,0)),"—"))</f>
        <v/>
      </c>
      <c r="E179" s="46"/>
      <c r="F179" s="46"/>
      <c r="G179" s="44" t="str">
        <f t="shared" ca="1" si="10"/>
        <v/>
      </c>
      <c r="H179" s="45" t="str">
        <f t="shared" si="11"/>
        <v/>
      </c>
    </row>
    <row r="180" spans="2:8" ht="21" customHeight="1" x14ac:dyDescent="0.25">
      <c r="B180" s="43"/>
      <c r="C180" s="43"/>
      <c r="D180" s="44" t="str">
        <f>IF(B180="","",IFERROR(INDEX('03 Personnes'!$D$9:$D$158,MATCH(B180,'03 Personnes'!$B$9:$B$158,0)),"—"))</f>
        <v/>
      </c>
      <c r="E180" s="46"/>
      <c r="F180" s="46"/>
      <c r="G180" s="44" t="str">
        <f t="shared" ca="1" si="10"/>
        <v/>
      </c>
      <c r="H180" s="45" t="str">
        <f t="shared" si="11"/>
        <v/>
      </c>
    </row>
    <row r="181" spans="2:8" ht="21" customHeight="1" x14ac:dyDescent="0.25">
      <c r="B181" s="43"/>
      <c r="C181" s="43"/>
      <c r="D181" s="44" t="str">
        <f>IF(B181="","",IFERROR(INDEX('03 Personnes'!$D$9:$D$158,MATCH(B181,'03 Personnes'!$B$9:$B$158,0)),"—"))</f>
        <v/>
      </c>
      <c r="E181" s="46"/>
      <c r="F181" s="46"/>
      <c r="G181" s="44" t="str">
        <f t="shared" ca="1" si="10"/>
        <v/>
      </c>
      <c r="H181" s="45" t="str">
        <f t="shared" si="11"/>
        <v/>
      </c>
    </row>
    <row r="182" spans="2:8" ht="21" customHeight="1" x14ac:dyDescent="0.25">
      <c r="B182" s="43"/>
      <c r="C182" s="43"/>
      <c r="D182" s="44" t="str">
        <f>IF(B182="","",IFERROR(INDEX('03 Personnes'!$D$9:$D$158,MATCH(B182,'03 Personnes'!$B$9:$B$158,0)),"—"))</f>
        <v/>
      </c>
      <c r="E182" s="46"/>
      <c r="F182" s="46"/>
      <c r="G182" s="44" t="str">
        <f t="shared" ca="1" si="10"/>
        <v/>
      </c>
      <c r="H182" s="45" t="str">
        <f t="shared" si="11"/>
        <v/>
      </c>
    </row>
    <row r="183" spans="2:8" ht="21" customHeight="1" x14ac:dyDescent="0.25">
      <c r="B183" s="43"/>
      <c r="C183" s="43"/>
      <c r="D183" s="44" t="str">
        <f>IF(B183="","",IFERROR(INDEX('03 Personnes'!$D$9:$D$158,MATCH(B183,'03 Personnes'!$B$9:$B$158,0)),"—"))</f>
        <v/>
      </c>
      <c r="E183" s="46"/>
      <c r="F183" s="46"/>
      <c r="G183" s="44" t="str">
        <f t="shared" ca="1" si="10"/>
        <v/>
      </c>
      <c r="H183" s="45" t="str">
        <f t="shared" si="11"/>
        <v/>
      </c>
    </row>
    <row r="184" spans="2:8" ht="21" customHeight="1" x14ac:dyDescent="0.25">
      <c r="B184" s="43"/>
      <c r="C184" s="43"/>
      <c r="D184" s="44" t="str">
        <f>IF(B184="","",IFERROR(INDEX('03 Personnes'!$D$9:$D$158,MATCH(B184,'03 Personnes'!$B$9:$B$158,0)),"—"))</f>
        <v/>
      </c>
      <c r="E184" s="46"/>
      <c r="F184" s="46"/>
      <c r="G184" s="44" t="str">
        <f t="shared" ca="1" si="10"/>
        <v/>
      </c>
      <c r="H184" s="45" t="str">
        <f t="shared" si="11"/>
        <v/>
      </c>
    </row>
    <row r="185" spans="2:8" ht="21" customHeight="1" x14ac:dyDescent="0.25">
      <c r="B185" s="43"/>
      <c r="C185" s="43"/>
      <c r="D185" s="44" t="str">
        <f>IF(B185="","",IFERROR(INDEX('03 Personnes'!$D$9:$D$158,MATCH(B185,'03 Personnes'!$B$9:$B$158,0)),"—"))</f>
        <v/>
      </c>
      <c r="E185" s="46"/>
      <c r="F185" s="46"/>
      <c r="G185" s="44" t="str">
        <f t="shared" ca="1" si="10"/>
        <v/>
      </c>
      <c r="H185" s="45" t="str">
        <f t="shared" si="11"/>
        <v/>
      </c>
    </row>
    <row r="186" spans="2:8" ht="21" customHeight="1" x14ac:dyDescent="0.25">
      <c r="B186" s="43"/>
      <c r="C186" s="43"/>
      <c r="D186" s="44" t="str">
        <f>IF(B186="","",IFERROR(INDEX('03 Personnes'!$D$9:$D$158,MATCH(B186,'03 Personnes'!$B$9:$B$158,0)),"—"))</f>
        <v/>
      </c>
      <c r="E186" s="46"/>
      <c r="F186" s="46"/>
      <c r="G186" s="44" t="str">
        <f t="shared" ca="1" si="10"/>
        <v/>
      </c>
      <c r="H186" s="45" t="str">
        <f t="shared" si="11"/>
        <v/>
      </c>
    </row>
    <row r="187" spans="2:8" ht="21" customHeight="1" x14ac:dyDescent="0.25">
      <c r="B187" s="43"/>
      <c r="C187" s="43"/>
      <c r="D187" s="44" t="str">
        <f>IF(B187="","",IFERROR(INDEX('03 Personnes'!$D$9:$D$158,MATCH(B187,'03 Personnes'!$B$9:$B$158,0)),"—"))</f>
        <v/>
      </c>
      <c r="E187" s="46"/>
      <c r="F187" s="46"/>
      <c r="G187" s="44" t="str">
        <f t="shared" ca="1" si="10"/>
        <v/>
      </c>
      <c r="H187" s="45" t="str">
        <f t="shared" si="11"/>
        <v/>
      </c>
    </row>
    <row r="188" spans="2:8" ht="21" customHeight="1" x14ac:dyDescent="0.25">
      <c r="B188" s="43"/>
      <c r="C188" s="43"/>
      <c r="D188" s="44" t="str">
        <f>IF(B188="","",IFERROR(INDEX('03 Personnes'!$D$9:$D$158,MATCH(B188,'03 Personnes'!$B$9:$B$158,0)),"—"))</f>
        <v/>
      </c>
      <c r="E188" s="46"/>
      <c r="F188" s="46"/>
      <c r="G188" s="44" t="str">
        <f t="shared" ca="1" si="10"/>
        <v/>
      </c>
      <c r="H188" s="45" t="str">
        <f t="shared" si="11"/>
        <v/>
      </c>
    </row>
    <row r="189" spans="2:8" ht="21" customHeight="1" x14ac:dyDescent="0.25">
      <c r="B189" s="43"/>
      <c r="C189" s="43"/>
      <c r="D189" s="44" t="str">
        <f>IF(B189="","",IFERROR(INDEX('03 Personnes'!$D$9:$D$158,MATCH(B189,'03 Personnes'!$B$9:$B$158,0)),"—"))</f>
        <v/>
      </c>
      <c r="E189" s="46"/>
      <c r="F189" s="46"/>
      <c r="G189" s="44" t="str">
        <f t="shared" ca="1" si="10"/>
        <v/>
      </c>
      <c r="H189" s="45" t="str">
        <f t="shared" si="11"/>
        <v/>
      </c>
    </row>
    <row r="190" spans="2:8" ht="21" customHeight="1" x14ac:dyDescent="0.25">
      <c r="B190" s="43"/>
      <c r="C190" s="43"/>
      <c r="D190" s="44" t="str">
        <f>IF(B190="","",IFERROR(INDEX('03 Personnes'!$D$9:$D$158,MATCH(B190,'03 Personnes'!$B$9:$B$158,0)),"—"))</f>
        <v/>
      </c>
      <c r="E190" s="46"/>
      <c r="F190" s="46"/>
      <c r="G190" s="44" t="str">
        <f t="shared" ca="1" si="10"/>
        <v/>
      </c>
      <c r="H190" s="45" t="str">
        <f t="shared" si="11"/>
        <v/>
      </c>
    </row>
    <row r="191" spans="2:8" ht="21" customHeight="1" x14ac:dyDescent="0.25">
      <c r="B191" s="43"/>
      <c r="C191" s="43"/>
      <c r="D191" s="44" t="str">
        <f>IF(B191="","",IFERROR(INDEX('03 Personnes'!$D$9:$D$158,MATCH(B191,'03 Personnes'!$B$9:$B$158,0)),"—"))</f>
        <v/>
      </c>
      <c r="E191" s="46"/>
      <c r="F191" s="46"/>
      <c r="G191" s="44" t="str">
        <f t="shared" ca="1" si="10"/>
        <v/>
      </c>
      <c r="H191" s="45" t="str">
        <f t="shared" si="11"/>
        <v/>
      </c>
    </row>
    <row r="192" spans="2:8" ht="21" customHeight="1" x14ac:dyDescent="0.25">
      <c r="B192" s="43"/>
      <c r="C192" s="43"/>
      <c r="D192" s="44" t="str">
        <f>IF(B192="","",IFERROR(INDEX('03 Personnes'!$D$9:$D$158,MATCH(B192,'03 Personnes'!$B$9:$B$158,0)),"—"))</f>
        <v/>
      </c>
      <c r="E192" s="46"/>
      <c r="F192" s="46"/>
      <c r="G192" s="44" t="str">
        <f t="shared" ca="1" si="10"/>
        <v/>
      </c>
      <c r="H192" s="45" t="str">
        <f t="shared" si="11"/>
        <v/>
      </c>
    </row>
    <row r="193" spans="2:8" ht="21" customHeight="1" x14ac:dyDescent="0.25">
      <c r="B193" s="43"/>
      <c r="C193" s="43"/>
      <c r="D193" s="44" t="str">
        <f>IF(B193="","",IFERROR(INDEX('03 Personnes'!$D$9:$D$158,MATCH(B193,'03 Personnes'!$B$9:$B$158,0)),"—"))</f>
        <v/>
      </c>
      <c r="E193" s="46"/>
      <c r="F193" s="46"/>
      <c r="G193" s="44" t="str">
        <f t="shared" ca="1" si="10"/>
        <v/>
      </c>
      <c r="H193" s="45" t="str">
        <f t="shared" si="11"/>
        <v/>
      </c>
    </row>
    <row r="194" spans="2:8" ht="21" customHeight="1" x14ac:dyDescent="0.25">
      <c r="B194" s="43"/>
      <c r="C194" s="43"/>
      <c r="D194" s="44" t="str">
        <f>IF(B194="","",IFERROR(INDEX('03 Personnes'!$D$9:$D$158,MATCH(B194,'03 Personnes'!$B$9:$B$158,0)),"—"))</f>
        <v/>
      </c>
      <c r="E194" s="46"/>
      <c r="F194" s="46"/>
      <c r="G194" s="44" t="str">
        <f t="shared" ca="1" si="10"/>
        <v/>
      </c>
      <c r="H194" s="45" t="str">
        <f t="shared" si="11"/>
        <v/>
      </c>
    </row>
    <row r="195" spans="2:8" ht="21" customHeight="1" x14ac:dyDescent="0.25">
      <c r="B195" s="43"/>
      <c r="C195" s="43"/>
      <c r="D195" s="44" t="str">
        <f>IF(B195="","",IFERROR(INDEX('03 Personnes'!$D$9:$D$158,MATCH(B195,'03 Personnes'!$B$9:$B$158,0)),"—"))</f>
        <v/>
      </c>
      <c r="E195" s="46"/>
      <c r="F195" s="46"/>
      <c r="G195" s="44" t="str">
        <f t="shared" ca="1" si="10"/>
        <v/>
      </c>
      <c r="H195" s="45" t="str">
        <f t="shared" si="11"/>
        <v/>
      </c>
    </row>
    <row r="196" spans="2:8" ht="21" customHeight="1" x14ac:dyDescent="0.25">
      <c r="B196" s="43"/>
      <c r="C196" s="43"/>
      <c r="D196" s="44" t="str">
        <f>IF(B196="","",IFERROR(INDEX('03 Personnes'!$D$9:$D$158,MATCH(B196,'03 Personnes'!$B$9:$B$158,0)),"—"))</f>
        <v/>
      </c>
      <c r="E196" s="46"/>
      <c r="F196" s="46"/>
      <c r="G196" s="44" t="str">
        <f t="shared" ca="1" si="10"/>
        <v/>
      </c>
      <c r="H196" s="45" t="str">
        <f t="shared" si="11"/>
        <v/>
      </c>
    </row>
    <row r="197" spans="2:8" ht="21" customHeight="1" x14ac:dyDescent="0.25">
      <c r="B197" s="43"/>
      <c r="C197" s="43"/>
      <c r="D197" s="44" t="str">
        <f>IF(B197="","",IFERROR(INDEX('03 Personnes'!$D$9:$D$158,MATCH(B197,'03 Personnes'!$B$9:$B$158,0)),"—"))</f>
        <v/>
      </c>
      <c r="E197" s="46"/>
      <c r="F197" s="46"/>
      <c r="G197" s="44" t="str">
        <f t="shared" ca="1" si="10"/>
        <v/>
      </c>
      <c r="H197" s="45" t="str">
        <f t="shared" si="11"/>
        <v/>
      </c>
    </row>
    <row r="198" spans="2:8" ht="21" customHeight="1" x14ac:dyDescent="0.25">
      <c r="B198" s="43"/>
      <c r="C198" s="43"/>
      <c r="D198" s="44" t="str">
        <f>IF(B198="","",IFERROR(INDEX('03 Personnes'!$D$9:$D$158,MATCH(B198,'03 Personnes'!$B$9:$B$158,0)),"—"))</f>
        <v/>
      </c>
      <c r="E198" s="46"/>
      <c r="F198" s="46"/>
      <c r="G198" s="44" t="str">
        <f t="shared" ca="1" si="10"/>
        <v/>
      </c>
      <c r="H198" s="45" t="str">
        <f t="shared" si="11"/>
        <v/>
      </c>
    </row>
    <row r="199" spans="2:8" ht="21" customHeight="1" x14ac:dyDescent="0.25">
      <c r="B199" s="43"/>
      <c r="C199" s="43"/>
      <c r="D199" s="44" t="str">
        <f>IF(B199="","",IFERROR(INDEX('03 Personnes'!$D$9:$D$158,MATCH(B199,'03 Personnes'!$B$9:$B$158,0)),"—"))</f>
        <v/>
      </c>
      <c r="E199" s="46"/>
      <c r="F199" s="46"/>
      <c r="G199" s="44" t="str">
        <f t="shared" ca="1" si="10"/>
        <v/>
      </c>
      <c r="H199" s="45" t="str">
        <f t="shared" si="11"/>
        <v/>
      </c>
    </row>
    <row r="200" spans="2:8" ht="21" customHeight="1" x14ac:dyDescent="0.25">
      <c r="B200" s="43"/>
      <c r="C200" s="43"/>
      <c r="D200" s="44" t="str">
        <f>IF(B200="","",IFERROR(INDEX('03 Personnes'!$D$9:$D$158,MATCH(B200,'03 Personnes'!$B$9:$B$158,0)),"—"))</f>
        <v/>
      </c>
      <c r="E200" s="46"/>
      <c r="F200" s="46"/>
      <c r="G200" s="44" t="str">
        <f t="shared" ca="1" si="10"/>
        <v/>
      </c>
      <c r="H200" s="45" t="str">
        <f t="shared" si="11"/>
        <v/>
      </c>
    </row>
    <row r="201" spans="2:8" ht="21" customHeight="1" x14ac:dyDescent="0.25">
      <c r="B201" s="43"/>
      <c r="C201" s="43"/>
      <c r="D201" s="44" t="str">
        <f>IF(B201="","",IFERROR(INDEX('03 Personnes'!$D$9:$D$158,MATCH(B201,'03 Personnes'!$B$9:$B$158,0)),"—"))</f>
        <v/>
      </c>
      <c r="E201" s="46"/>
      <c r="F201" s="46"/>
      <c r="G201" s="44" t="str">
        <f t="shared" ref="G201:G232" ca="1" si="12">IF(B201="","",IF(OR(F201="",F201&gt;=TODAY()),"Oui","Non"))</f>
        <v/>
      </c>
      <c r="H201" s="45" t="str">
        <f t="shared" ref="H201:H208" si="13">IF(B201="","",IF(AND(E201&lt;&gt;"",F201&lt;&gt;"",F201&lt;E201),"⚠ Fin avant début",IF(COUNTIFS($B$9:$B$208,B201,$C$9:$C$208,C201,$E$9:$E$208,E201)&gt;1,"⚠ Doublon","✓")))</f>
        <v/>
      </c>
    </row>
    <row r="202" spans="2:8" ht="21" customHeight="1" x14ac:dyDescent="0.25">
      <c r="B202" s="43"/>
      <c r="C202" s="43"/>
      <c r="D202" s="44" t="str">
        <f>IF(B202="","",IFERROR(INDEX('03 Personnes'!$D$9:$D$158,MATCH(B202,'03 Personnes'!$B$9:$B$158,0)),"—"))</f>
        <v/>
      </c>
      <c r="E202" s="46"/>
      <c r="F202" s="46"/>
      <c r="G202" s="44" t="str">
        <f t="shared" ca="1" si="12"/>
        <v/>
      </c>
      <c r="H202" s="45" t="str">
        <f t="shared" si="13"/>
        <v/>
      </c>
    </row>
    <row r="203" spans="2:8" ht="21" customHeight="1" x14ac:dyDescent="0.25">
      <c r="B203" s="43"/>
      <c r="C203" s="43"/>
      <c r="D203" s="44" t="str">
        <f>IF(B203="","",IFERROR(INDEX('03 Personnes'!$D$9:$D$158,MATCH(B203,'03 Personnes'!$B$9:$B$158,0)),"—"))</f>
        <v/>
      </c>
      <c r="E203" s="46"/>
      <c r="F203" s="46"/>
      <c r="G203" s="44" t="str">
        <f t="shared" ca="1" si="12"/>
        <v/>
      </c>
      <c r="H203" s="45" t="str">
        <f t="shared" si="13"/>
        <v/>
      </c>
    </row>
    <row r="204" spans="2:8" ht="21" customHeight="1" x14ac:dyDescent="0.25">
      <c r="B204" s="43"/>
      <c r="C204" s="43"/>
      <c r="D204" s="44" t="str">
        <f>IF(B204="","",IFERROR(INDEX('03 Personnes'!$D$9:$D$158,MATCH(B204,'03 Personnes'!$B$9:$B$158,0)),"—"))</f>
        <v/>
      </c>
      <c r="E204" s="46"/>
      <c r="F204" s="46"/>
      <c r="G204" s="44" t="str">
        <f t="shared" ca="1" si="12"/>
        <v/>
      </c>
      <c r="H204" s="45" t="str">
        <f t="shared" si="13"/>
        <v/>
      </c>
    </row>
    <row r="205" spans="2:8" ht="21" customHeight="1" x14ac:dyDescent="0.25">
      <c r="B205" s="43"/>
      <c r="C205" s="43"/>
      <c r="D205" s="44" t="str">
        <f>IF(B205="","",IFERROR(INDEX('03 Personnes'!$D$9:$D$158,MATCH(B205,'03 Personnes'!$B$9:$B$158,0)),"—"))</f>
        <v/>
      </c>
      <c r="E205" s="46"/>
      <c r="F205" s="46"/>
      <c r="G205" s="44" t="str">
        <f t="shared" ca="1" si="12"/>
        <v/>
      </c>
      <c r="H205" s="45" t="str">
        <f t="shared" si="13"/>
        <v/>
      </c>
    </row>
    <row r="206" spans="2:8" ht="21" customHeight="1" x14ac:dyDescent="0.25">
      <c r="B206" s="43"/>
      <c r="C206" s="43"/>
      <c r="D206" s="44" t="str">
        <f>IF(B206="","",IFERROR(INDEX('03 Personnes'!$D$9:$D$158,MATCH(B206,'03 Personnes'!$B$9:$B$158,0)),"—"))</f>
        <v/>
      </c>
      <c r="E206" s="46"/>
      <c r="F206" s="46"/>
      <c r="G206" s="44" t="str">
        <f t="shared" ca="1" si="12"/>
        <v/>
      </c>
      <c r="H206" s="45" t="str">
        <f t="shared" si="13"/>
        <v/>
      </c>
    </row>
    <row r="207" spans="2:8" ht="21" customHeight="1" x14ac:dyDescent="0.25">
      <c r="B207" s="43"/>
      <c r="C207" s="43"/>
      <c r="D207" s="44" t="str">
        <f>IF(B207="","",IFERROR(INDEX('03 Personnes'!$D$9:$D$158,MATCH(B207,'03 Personnes'!$B$9:$B$158,0)),"—"))</f>
        <v/>
      </c>
      <c r="E207" s="46"/>
      <c r="F207" s="46"/>
      <c r="G207" s="44" t="str">
        <f t="shared" ca="1" si="12"/>
        <v/>
      </c>
      <c r="H207" s="45" t="str">
        <f t="shared" si="13"/>
        <v/>
      </c>
    </row>
    <row r="208" spans="2:8" ht="21" customHeight="1" x14ac:dyDescent="0.25">
      <c r="B208" s="43"/>
      <c r="C208" s="43"/>
      <c r="D208" s="44" t="str">
        <f>IF(B208="","",IFERROR(INDEX('03 Personnes'!$D$9:$D$158,MATCH(B208,'03 Personnes'!$B$9:$B$158,0)),"—"))</f>
        <v/>
      </c>
      <c r="E208" s="46"/>
      <c r="F208" s="46"/>
      <c r="G208" s="44" t="str">
        <f t="shared" ca="1" si="12"/>
        <v/>
      </c>
      <c r="H208" s="45" t="str">
        <f t="shared" si="13"/>
        <v/>
      </c>
    </row>
  </sheetData>
  <sheetProtection sheet="1" formatColumns="0" formatRows="0" sort="0" autoFilter="0"/>
  <autoFilter ref="B8:H8" xr:uid="{00000000-0009-0000-0000-000006000000}"/>
  <conditionalFormatting sqref="B9:C208">
    <cfRule type="expression" dxfId="51" priority="1">
      <formula>AND(OR($B9&lt;&gt;"",$C9&lt;&gt;"",$E9&lt;&gt;"",$F9&lt;&gt;""),B9="")</formula>
    </cfRule>
  </conditionalFormatting>
  <conditionalFormatting sqref="E9:E208">
    <cfRule type="expression" dxfId="50" priority="3">
      <formula>AND(OR($B9&lt;&gt;"",$C9&lt;&gt;"",$E9&lt;&gt;"",$F9&lt;&gt;""),E9="")</formula>
    </cfRule>
  </conditionalFormatting>
  <dataValidations count="3">
    <dataValidation type="list" allowBlank="1" showErrorMessage="1" errorTitle="Valeur hors liste" error="Choisissez une valeur dans la liste. Elle se remplit à partir de l’onglet correspondant." sqref="B9:B208" xr:uid="{00000000-0002-0000-0600-000000000000}">
      <formula1>L_Personnes</formula1>
    </dataValidation>
    <dataValidation type="list" allowBlank="1" showErrorMessage="1" errorTitle="Valeur hors liste" error="Choisissez une valeur dans la liste. Elle se remplit à partir de l’onglet correspondant." sqref="C9:C208" xr:uid="{00000000-0002-0000-0600-000002000000}">
      <formula1>L_Roles</formula1>
    </dataValidation>
    <dataValidation type="date" operator="greaterThan" allowBlank="1" showErrorMessage="1" errorTitle="Date attendue" error="Saisissez une date au format JJ/MM/AAAA." sqref="E9:F208" xr:uid="{00000000-0002-0000-0600-000004000000}">
      <formula1>36526</formula1>
    </dataValidation>
  </dataValidations>
  <hyperlinks>
    <hyperlink ref="H3" location="#'Complétude'!A1" display="↩  Complétude" xr:uid="{00000000-0004-0000-06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000000-000E-0000-0600-000004000000}">
            <xm:f>NOT(ISERROR(SEARCH("⚠",H9)))</xm:f>
            <x14:dxf>
              <font>
                <b/>
                <color rgb="FFC2473B"/>
              </font>
            </x14:dxf>
          </x14:cfRule>
          <x14:cfRule type="containsText" priority="4" operator="containsText" id="{00000000-000E-0000-0600-000004000000}">
            <xm:f>NOT(ISERROR(SEARCH("◔",H9)))</xm:f>
            <x14:dxf>
              <font>
                <b/>
                <color rgb="FFB26A12"/>
              </font>
            </x14:dxf>
          </x14:cfRule>
          <xm:sqref>H9:H208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D8F86"/>
    <pageSetUpPr fitToPage="1"/>
  </sheetPr>
  <dimension ref="B1:E26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54" customWidth="1"/>
    <col min="5" max="5" width="30" customWidth="1"/>
  </cols>
  <sheetData>
    <row r="1" spans="2:5" ht="12" customHeight="1" x14ac:dyDescent="0.25"/>
    <row r="2" spans="2:5" ht="33.950000000000003" customHeight="1" x14ac:dyDescent="0.45">
      <c r="B2" s="1" t="s">
        <v>37</v>
      </c>
      <c r="E2" s="35">
        <f>Complétude!$I25</f>
        <v>0</v>
      </c>
    </row>
    <row r="3" spans="2:5" ht="18" customHeight="1" x14ac:dyDescent="0.25">
      <c r="B3" s="2" t="s">
        <v>226</v>
      </c>
      <c r="E3" s="36" t="s">
        <v>195</v>
      </c>
    </row>
    <row r="4" spans="2:5" ht="18" customHeight="1" x14ac:dyDescent="0.25">
      <c r="B4" t="s">
        <v>227</v>
      </c>
    </row>
    <row r="5" spans="2:5" x14ac:dyDescent="0.25">
      <c r="B5" s="37" t="s">
        <v>228</v>
      </c>
    </row>
    <row r="7" spans="2:5" ht="27.95" customHeight="1" x14ac:dyDescent="0.25">
      <c r="B7" s="47" t="s">
        <v>229</v>
      </c>
      <c r="C7" s="48"/>
      <c r="D7" s="48"/>
    </row>
    <row r="8" spans="2:5" ht="24" customHeight="1" x14ac:dyDescent="0.25">
      <c r="B8" s="13" t="s">
        <v>230</v>
      </c>
      <c r="C8" s="49" t="s">
        <v>198</v>
      </c>
      <c r="D8" s="50"/>
    </row>
    <row r="9" spans="2:5" ht="24" customHeight="1" x14ac:dyDescent="0.25">
      <c r="B9" s="13" t="s">
        <v>231</v>
      </c>
      <c r="C9" s="51" t="s">
        <v>199</v>
      </c>
      <c r="D9" s="50"/>
    </row>
    <row r="10" spans="2:5" ht="24" customHeight="1" x14ac:dyDescent="0.25">
      <c r="B10" s="13" t="s">
        <v>232</v>
      </c>
      <c r="C10" s="49" t="s">
        <v>198</v>
      </c>
      <c r="D10" s="50"/>
    </row>
    <row r="11" spans="2:5" ht="24" customHeight="1" x14ac:dyDescent="0.25">
      <c r="B11" s="13" t="inlineStr">
        <is>
          <t>Ville du projet</t>
        </is>
      </c>
      <c r="C11" s="51" t="inlineStr">
        <is>
          <t>FACULTATIF</t>
        </is>
      </c>
      <c r="D11" s="50"/>
      <c r="E11" s="52" t="inlineStr">
        <is>
          <t>Une seule commune, ex. Palaiseau</t>
        </is>
      </c>
    </row>
    <row r="12" spans="2:5" ht="24" customHeight="1" x14ac:dyDescent="0.25">
      <c r="B12" s="13" t="inlineStr">
        <is>
          <t>Code postal</t>
        </is>
      </c>
      <c r="C12" s="51" t="inlineStr">
        <is>
          <t>FACULTATIF</t>
        </is>
      </c>
      <c r="D12" s="50"/>
      <c r="E12" s="52" t="inlineStr">
        <is>
          <t>Ex. 91120 : précise la météo et le trafic</t>
        </is>
      </c>
    </row>
    <row r="13" spans="2:5" ht="27.95" customHeight="1" x14ac:dyDescent="0.25">
      <c r="B13" s="47" t="s">
        <v>37</v>
      </c>
      <c r="C13" s="48"/>
      <c r="D13" s="48"/>
    </row>
    <row r="14" spans="2:5" ht="24" customHeight="1" x14ac:dyDescent="0.25">
      <c r="B14" s="13" t="s">
        <v>233</v>
      </c>
      <c r="C14" s="49" t="s">
        <v>198</v>
      </c>
      <c r="D14" s="50"/>
      <c r="E14" s="52" t="s">
        <v>234</v>
      </c>
    </row>
    <row r="15" spans="2:5" ht="24" customHeight="1" x14ac:dyDescent="0.25">
      <c r="B15" s="13" t="s">
        <v>235</v>
      </c>
      <c r="C15" s="49" t="s">
        <v>198</v>
      </c>
      <c r="D15" s="50"/>
    </row>
    <row r="16" spans="2:5" ht="24" customHeight="1" x14ac:dyDescent="0.25">
      <c r="B16" s="13" t="s">
        <v>236</v>
      </c>
      <c r="C16" s="51" t="s">
        <v>199</v>
      </c>
      <c r="D16" s="50"/>
      <c r="E16" s="52" t="s">
        <v>237</v>
      </c>
    </row>
    <row r="17" spans="2:5" ht="24" customHeight="1" x14ac:dyDescent="0.25">
      <c r="B17" s="13" t="s">
        <v>238</v>
      </c>
      <c r="C17" s="51" t="s">
        <v>213</v>
      </c>
      <c r="D17" s="50"/>
      <c r="E17" s="52" t="s">
        <v>239</v>
      </c>
    </row>
    <row r="18" spans="2:5" ht="24" customHeight="1" x14ac:dyDescent="0.25">
      <c r="B18" s="13" t="s">
        <v>240</v>
      </c>
      <c r="C18" s="51" t="s">
        <v>213</v>
      </c>
      <c r="D18" s="50"/>
      <c r="E18" s="52" t="s">
        <v>239</v>
      </c>
    </row>
    <row r="19" spans="2:4" ht="24" customHeight="1" x14ac:dyDescent="0.25">
      <c r="B19" s="13" t="s">
        <v>241</v>
      </c>
      <c r="C19" s="49" t="s">
        <v>198</v>
      </c>
      <c r="D19" s="53"/>
    </row>
    <row r="20" spans="2:4" ht="24" customHeight="1" x14ac:dyDescent="0.25">
      <c r="B20" s="13" t="s">
        <v>242</v>
      </c>
      <c r="C20" s="49" t="s">
        <v>198</v>
      </c>
      <c r="D20" s="53"/>
    </row>
    <row r="21" spans="2:4" ht="24" customHeight="1" x14ac:dyDescent="0.25">
      <c r="B21" s="13" t="s">
        <v>243</v>
      </c>
      <c r="C21" s="49" t="s">
        <v>212</v>
      </c>
      <c r="D21" s="50"/>
    </row>
    <row r="22" spans="2:4" ht="24" customHeight="1" x14ac:dyDescent="0.25">
      <c r="B22" s="13" t="s">
        <v>19</v>
      </c>
      <c r="C22" s="51" t="s">
        <v>213</v>
      </c>
      <c r="D22" s="50"/>
    </row>
    <row r="23" spans="2:4" ht="24" customHeight="1" x14ac:dyDescent="0.25">
      <c r="B23" s="13" t="s">
        <v>244</v>
      </c>
      <c r="C23" s="49" t="s">
        <v>212</v>
      </c>
      <c r="D23" s="50"/>
    </row>
    <row r="24" spans="2:4" ht="24" customHeight="1" x14ac:dyDescent="0.25">
      <c r="B24" s="13" t="s">
        <v>245</v>
      </c>
      <c r="C24" s="51" t="s">
        <v>213</v>
      </c>
      <c r="D24" s="50"/>
    </row>
    <row r="26" spans="2:4" x14ac:dyDescent="0.25">
      <c r="D26" s="54" t="str">
        <f>IF(OR(D19="",D20=""),"",IF(D20&lt;D19,"⚠ Fin cible avant démarrage","✓ Dates cohérentes"))</f>
        <v/>
      </c>
    </row>
  </sheetData>
  <sheetProtection sheet="1" formatColumns="0" formatRows="0"/>
  <conditionalFormatting sqref="D8">
    <cfRule type="expression" dxfId="47" priority="1">
      <formula>D8=""</formula>
    </cfRule>
  </conditionalFormatting>
  <conditionalFormatting sqref="D10">
    <cfRule type="expression" dxfId="46" priority="2">
      <formula>D10=""</formula>
    </cfRule>
  </conditionalFormatting>
  <conditionalFormatting sqref="D14:D15">
    <cfRule type="expression" dxfId="45" priority="3">
      <formula>D14=""</formula>
    </cfRule>
  </conditionalFormatting>
  <conditionalFormatting sqref="D19:D21">
    <cfRule type="expression" dxfId="44" priority="5">
      <formula>D19=""</formula>
    </cfRule>
  </conditionalFormatting>
  <conditionalFormatting sqref="D23">
    <cfRule type="expression" dxfId="43" priority="8">
      <formula>D23=""</formula>
    </cfRule>
  </conditionalFormatting>
  <dataValidations count="5">
    <dataValidation type="list" allowBlank="1" showErrorMessage="1" errorTitle="Valeur hors liste" error="Choisissez une valeur dans la liste." sqref="D17:D18" xr:uid="{00000000-0002-0000-0700-000000000000}">
      <formula1>L_Equipes</formula1>
    </dataValidation>
    <dataValidation type="date" operator="greaterThan" allowBlank="1" showErrorMessage="1" errorTitle="Date attendue" error="Saisissez une date au format JJ/MM/AAAA." sqref="D19:D20" xr:uid="{00000000-0002-0000-0700-000001000000}">
      <formula1>36526</formula1>
    </dataValidation>
    <dataValidation type="list" allowBlank="1" showErrorMessage="1" errorTitle="Valeur hors liste" error="Choisissez une valeur dans la liste." sqref="D21" xr:uid="{00000000-0002-0000-0700-000002000000}">
      <formula1>L_Fuseau</formula1>
    </dataValidation>
    <dataValidation type="list" allowBlank="1" showErrorMessage="1" errorTitle="Valeur hors liste" error="Choisissez une valeur dans la liste." sqref="D22" xr:uid="{00000000-0002-0000-0700-000003000000}">
      <formula1>L_StatutProjet</formula1>
    </dataValidation>
    <dataValidation type="list" allowBlank="1" showErrorMessage="1" errorTitle="Valeur hors liste" error="Choisissez une valeur dans la liste." sqref="D23:D24" xr:uid="{00000000-0002-0000-0700-000004000000}">
      <formula1>L_Personnes</formula1>
    </dataValidation>
  </dataValidations>
  <hyperlinks>
    <hyperlink ref="E3" location="#'Complétude'!A1" display="↩  Complétude" xr:uid="{00000000-0004-0000-07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00000000-000E-0000-0700-000009000000}">
            <xm:f>NOT(ISERROR(SEARCH("⚠",D26)))</xm:f>
            <x14:dxf>
              <font>
                <b/>
                <color rgb="FFC2473B"/>
              </font>
            </x14:dxf>
          </x14:cfRule>
          <xm:sqref>D26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D8F86"/>
    <pageSetUpPr fitToPage="1"/>
  </sheetPr>
  <dimension ref="B1:E12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26" customWidth="1"/>
    <col min="3" max="3" width="30" customWidth="1"/>
    <col min="4" max="4" width="70" customWidth="1"/>
    <col min="5" max="5" width="24" customWidth="1"/>
    <col min="6" max="11" width="3" customWidth="1"/>
  </cols>
  <sheetData>
    <row r="1" spans="2:5" ht="12" customHeight="1" x14ac:dyDescent="0.25"/>
    <row r="2" spans="2:5" ht="33.950000000000003" customHeight="1" x14ac:dyDescent="0.45">
      <c r="B2" s="1" t="s">
        <v>41</v>
      </c>
      <c r="E2" s="35">
        <f>Complétude!$I24</f>
        <v>0</v>
      </c>
    </row>
    <row r="3" spans="2:5" ht="18" customHeight="1" x14ac:dyDescent="0.25">
      <c r="B3" s="2" t="s">
        <v>246</v>
      </c>
      <c r="E3" s="36" t="s">
        <v>195</v>
      </c>
    </row>
    <row r="4" spans="2:5" ht="18" customHeight="1" x14ac:dyDescent="0.25">
      <c r="B4" t="s">
        <v>247</v>
      </c>
    </row>
    <row r="5" spans="2:5" ht="15.95" customHeight="1" x14ac:dyDescent="0.25">
      <c r="B5" s="37" t="s">
        <v>248</v>
      </c>
    </row>
    <row r="6" spans="2:5" ht="9.9499999999999993" customHeight="1" x14ac:dyDescent="0.25"/>
    <row r="7" spans="2:5" ht="15" customHeight="1" x14ac:dyDescent="0.25">
      <c r="B7" s="38" t="s">
        <v>212</v>
      </c>
      <c r="C7" s="39" t="s">
        <v>249</v>
      </c>
      <c r="D7" s="38" t="s">
        <v>198</v>
      </c>
      <c r="E7" s="38" t="s">
        <v>201</v>
      </c>
    </row>
    <row r="8" spans="2:5" ht="26.1" customHeight="1" x14ac:dyDescent="0.25">
      <c r="B8" s="41" t="s">
        <v>164</v>
      </c>
      <c r="C8" s="41" t="s">
        <v>207</v>
      </c>
      <c r="D8" s="41" t="s">
        <v>250</v>
      </c>
      <c r="E8" s="41" t="s">
        <v>153</v>
      </c>
    </row>
    <row r="9" spans="2:5" ht="21" customHeight="1" x14ac:dyDescent="0.25">
      <c r="B9" s="43"/>
      <c r="C9" s="43"/>
      <c r="D9" s="43"/>
      <c r="E9" s="45" t="str">
        <f>IF(AND(B9="",C9="",D9=""),"",IF(B9="","⚠ Rubrique manquante",IF(ISNA(MATCH(B9,L_Rubriques,0)),"⚠ Rubrique inconnue",IF(D9="","⚠ Valeur manquante",IF(AND(COUNTIF(L_RubriquesPaires,B9)&gt;0,C9=""),"⚠ Libellé manquant",IF(AND(B9="Programme en une phrase",COUNTIF($B$9:B9,B9)&gt;1),"⚠ Une seule ligne",IF(AND(COUNTIF(L_RubriquesPaires,B9)=0,C9&lt;&gt;""),"◔ Libellé ignoré","✓")))))))</f>
        <v/>
      </c>
    </row>
    <row r="10" spans="2:5" ht="21" customHeight="1" x14ac:dyDescent="0.25">
      <c r="B10" s="43"/>
      <c r="C10" s="43"/>
      <c r="D10" s="43"/>
      <c r="E10" s="45" t="str">
        <f>IF(AND(B10="",C10="",D10=""),"",IF(B10="","⚠ Rubrique manquante",IF(ISNA(MATCH(B10,L_Rubriques,0)),"⚠ Rubrique inconnue",IF(D10="","⚠ Valeur manquante",IF(AND(COUNTIF(L_RubriquesPaires,B10)&gt;0,C10=""),"⚠ Libellé manquant",IF(AND(B10="Programme en une phrase",COUNTIF($B$9:B10,B10)&gt;1),"⚠ Une seule ligne",IF(AND(COUNTIF(L_RubriquesPaires,B10)=0,C10&lt;&gt;""),"◔ Libellé ignoré","✓")))))))</f>
        <v/>
      </c>
    </row>
    <row r="11" spans="2:5" ht="21" customHeight="1" x14ac:dyDescent="0.25">
      <c r="B11" s="43"/>
      <c r="C11" s="43"/>
      <c r="D11" s="43"/>
      <c r="E11" s="45" t="str">
        <f>IF(AND(B11="",C11="",D11=""),"",IF(B11="","⚠ Rubrique manquante",IF(ISNA(MATCH(B11,L_Rubriques,0)),"⚠ Rubrique inconnue",IF(D11="","⚠ Valeur manquante",IF(AND(COUNTIF(L_RubriquesPaires,B11)&gt;0,C11=""),"⚠ Libellé manquant",IF(AND(B11="Programme en une phrase",COUNTIF($B$9:B11,B11)&gt;1),"⚠ Une seule ligne",IF(AND(COUNTIF(L_RubriquesPaires,B11)=0,C11&lt;&gt;""),"◔ Libellé ignoré","✓")))))))</f>
        <v/>
      </c>
    </row>
    <row r="12" spans="2:5" ht="21" customHeight="1" x14ac:dyDescent="0.25">
      <c r="B12" s="43"/>
      <c r="C12" s="43"/>
      <c r="D12" s="43"/>
      <c r="E12" s="45" t="str">
        <f>IF(AND(B12="",C12="",D12=""),"",IF(B12="","⚠ Rubrique manquante",IF(ISNA(MATCH(B12,L_Rubriques,0)),"⚠ Rubrique inconnue",IF(D12="","⚠ Valeur manquante",IF(AND(COUNTIF(L_RubriquesPaires,B12)&gt;0,C12=""),"⚠ Libellé manquant",IF(AND(B12="Programme en une phrase",COUNTIF($B$9:B12,B12)&gt;1),"⚠ Une seule ligne",IF(AND(COUNTIF(L_RubriquesPaires,B12)=0,C12&lt;&gt;""),"◔ Libellé ignoré","✓")))))))</f>
        <v/>
      </c>
    </row>
    <row r="13" spans="2:5" ht="21" customHeight="1" x14ac:dyDescent="0.25">
      <c r="B13" s="43"/>
      <c r="C13" s="43"/>
      <c r="D13" s="43"/>
      <c r="E13" s="45" t="str">
        <f>IF(AND(B13="",C13="",D13=""),"",IF(B13="","⚠ Rubrique manquante",IF(ISNA(MATCH(B13,L_Rubriques,0)),"⚠ Rubrique inconnue",IF(D13="","⚠ Valeur manquante",IF(AND(COUNTIF(L_RubriquesPaires,B13)&gt;0,C13=""),"⚠ Libellé manquant",IF(AND(B13="Programme en une phrase",COUNTIF($B$9:B13,B13)&gt;1),"⚠ Une seule ligne",IF(AND(COUNTIF(L_RubriquesPaires,B13)=0,C13&lt;&gt;""),"◔ Libellé ignoré","✓")))))))</f>
        <v/>
      </c>
    </row>
    <row r="14" spans="2:5" ht="21" customHeight="1" x14ac:dyDescent="0.25">
      <c r="B14" s="43"/>
      <c r="C14" s="43"/>
      <c r="D14" s="43"/>
      <c r="E14" s="45" t="str">
        <f>IF(AND(B14="",C14="",D14=""),"",IF(B14="","⚠ Rubrique manquante",IF(ISNA(MATCH(B14,L_Rubriques,0)),"⚠ Rubrique inconnue",IF(D14="","⚠ Valeur manquante",IF(AND(COUNTIF(L_RubriquesPaires,B14)&gt;0,C14=""),"⚠ Libellé manquant",IF(AND(B14="Programme en une phrase",COUNTIF($B$9:B14,B14)&gt;1),"⚠ Une seule ligne",IF(AND(COUNTIF(L_RubriquesPaires,B14)=0,C14&lt;&gt;""),"◔ Libellé ignoré","✓")))))))</f>
        <v/>
      </c>
    </row>
    <row r="15" spans="2:5" ht="21" customHeight="1" x14ac:dyDescent="0.25">
      <c r="B15" s="43"/>
      <c r="C15" s="43"/>
      <c r="D15" s="43"/>
      <c r="E15" s="45" t="str">
        <f>IF(AND(B15="",C15="",D15=""),"",IF(B15="","⚠ Rubrique manquante",IF(ISNA(MATCH(B15,L_Rubriques,0)),"⚠ Rubrique inconnue",IF(D15="","⚠ Valeur manquante",IF(AND(COUNTIF(L_RubriquesPaires,B15)&gt;0,C15=""),"⚠ Libellé manquant",IF(AND(B15="Programme en une phrase",COUNTIF($B$9:B15,B15)&gt;1),"⚠ Une seule ligne",IF(AND(COUNTIF(L_RubriquesPaires,B15)=0,C15&lt;&gt;""),"◔ Libellé ignoré","✓")))))))</f>
        <v/>
      </c>
    </row>
    <row r="16" spans="2:5" ht="21" customHeight="1" x14ac:dyDescent="0.25">
      <c r="B16" s="43"/>
      <c r="C16" s="43"/>
      <c r="D16" s="43"/>
      <c r="E16" s="45" t="str">
        <f>IF(AND(B16="",C16="",D16=""),"",IF(B16="","⚠ Rubrique manquante",IF(ISNA(MATCH(B16,L_Rubriques,0)),"⚠ Rubrique inconnue",IF(D16="","⚠ Valeur manquante",IF(AND(COUNTIF(L_RubriquesPaires,B16)&gt;0,C16=""),"⚠ Libellé manquant",IF(AND(B16="Programme en une phrase",COUNTIF($B$9:B16,B16)&gt;1),"⚠ Une seule ligne",IF(AND(COUNTIF(L_RubriquesPaires,B16)=0,C16&lt;&gt;""),"◔ Libellé ignoré","✓")))))))</f>
        <v/>
      </c>
    </row>
    <row r="17" spans="2:5" ht="21" customHeight="1" x14ac:dyDescent="0.25">
      <c r="B17" s="43"/>
      <c r="C17" s="43"/>
      <c r="D17" s="43"/>
      <c r="E17" s="45" t="str">
        <f>IF(AND(B17="",C17="",D17=""),"",IF(B17="","⚠ Rubrique manquante",IF(ISNA(MATCH(B17,L_Rubriques,0)),"⚠ Rubrique inconnue",IF(D17="","⚠ Valeur manquante",IF(AND(COUNTIF(L_RubriquesPaires,B17)&gt;0,C17=""),"⚠ Libellé manquant",IF(AND(B17="Programme en une phrase",COUNTIF($B$9:B17,B17)&gt;1),"⚠ Une seule ligne",IF(AND(COUNTIF(L_RubriquesPaires,B17)=0,C17&lt;&gt;""),"◔ Libellé ignoré","✓")))))))</f>
        <v/>
      </c>
    </row>
    <row r="18" spans="2:5" ht="21" customHeight="1" x14ac:dyDescent="0.25">
      <c r="B18" s="43"/>
      <c r="C18" s="43"/>
      <c r="D18" s="43"/>
      <c r="E18" s="45" t="str">
        <f>IF(AND(B18="",C18="",D18=""),"",IF(B18="","⚠ Rubrique manquante",IF(ISNA(MATCH(B18,L_Rubriques,0)),"⚠ Rubrique inconnue",IF(D18="","⚠ Valeur manquante",IF(AND(COUNTIF(L_RubriquesPaires,B18)&gt;0,C18=""),"⚠ Libellé manquant",IF(AND(B18="Programme en une phrase",COUNTIF($B$9:B18,B18)&gt;1),"⚠ Une seule ligne",IF(AND(COUNTIF(L_RubriquesPaires,B18)=0,C18&lt;&gt;""),"◔ Libellé ignoré","✓")))))))</f>
        <v/>
      </c>
    </row>
    <row r="19" spans="2:5" ht="21" customHeight="1" x14ac:dyDescent="0.25">
      <c r="B19" s="43"/>
      <c r="C19" s="43"/>
      <c r="D19" s="43"/>
      <c r="E19" s="45" t="str">
        <f>IF(AND(B19="",C19="",D19=""),"",IF(B19="","⚠ Rubrique manquante",IF(ISNA(MATCH(B19,L_Rubriques,0)),"⚠ Rubrique inconnue",IF(D19="","⚠ Valeur manquante",IF(AND(COUNTIF(L_RubriquesPaires,B19)&gt;0,C19=""),"⚠ Libellé manquant",IF(AND(B19="Programme en une phrase",COUNTIF($B$9:B19,B19)&gt;1),"⚠ Une seule ligne",IF(AND(COUNTIF(L_RubriquesPaires,B19)=0,C19&lt;&gt;""),"◔ Libellé ignoré","✓")))))))</f>
        <v/>
      </c>
    </row>
    <row r="20" spans="2:5" ht="21" customHeight="1" x14ac:dyDescent="0.25">
      <c r="B20" s="43"/>
      <c r="C20" s="43"/>
      <c r="D20" s="43"/>
      <c r="E20" s="45" t="str">
        <f>IF(AND(B20="",C20="",D20=""),"",IF(B20="","⚠ Rubrique manquante",IF(ISNA(MATCH(B20,L_Rubriques,0)),"⚠ Rubrique inconnue",IF(D20="","⚠ Valeur manquante",IF(AND(COUNTIF(L_RubriquesPaires,B20)&gt;0,C20=""),"⚠ Libellé manquant",IF(AND(B20="Programme en une phrase",COUNTIF($B$9:B20,B20)&gt;1),"⚠ Une seule ligne",IF(AND(COUNTIF(L_RubriquesPaires,B20)=0,C20&lt;&gt;""),"◔ Libellé ignoré","✓")))))))</f>
        <v/>
      </c>
    </row>
    <row r="21" spans="2:5" ht="21" customHeight="1" x14ac:dyDescent="0.25">
      <c r="B21" s="43"/>
      <c r="C21" s="43"/>
      <c r="D21" s="43"/>
      <c r="E21" s="45" t="str">
        <f>IF(AND(B21="",C21="",D21=""),"",IF(B21="","⚠ Rubrique manquante",IF(ISNA(MATCH(B21,L_Rubriques,0)),"⚠ Rubrique inconnue",IF(D21="","⚠ Valeur manquante",IF(AND(COUNTIF(L_RubriquesPaires,B21)&gt;0,C21=""),"⚠ Libellé manquant",IF(AND(B21="Programme en une phrase",COUNTIF($B$9:B21,B21)&gt;1),"⚠ Une seule ligne",IF(AND(COUNTIF(L_RubriquesPaires,B21)=0,C21&lt;&gt;""),"◔ Libellé ignoré","✓")))))))</f>
        <v/>
      </c>
    </row>
    <row r="22" spans="2:5" ht="21" customHeight="1" x14ac:dyDescent="0.25">
      <c r="B22" s="43"/>
      <c r="C22" s="43"/>
      <c r="D22" s="43"/>
      <c r="E22" s="45" t="str">
        <f>IF(AND(B22="",C22="",D22=""),"",IF(B22="","⚠ Rubrique manquante",IF(ISNA(MATCH(B22,L_Rubriques,0)),"⚠ Rubrique inconnue",IF(D22="","⚠ Valeur manquante",IF(AND(COUNTIF(L_RubriquesPaires,B22)&gt;0,C22=""),"⚠ Libellé manquant",IF(AND(B22="Programme en une phrase",COUNTIF($B$9:B22,B22)&gt;1),"⚠ Une seule ligne",IF(AND(COUNTIF(L_RubriquesPaires,B22)=0,C22&lt;&gt;""),"◔ Libellé ignoré","✓")))))))</f>
        <v/>
      </c>
    </row>
    <row r="23" spans="2:5" ht="21" customHeight="1" x14ac:dyDescent="0.25">
      <c r="B23" s="43"/>
      <c r="C23" s="43"/>
      <c r="D23" s="43"/>
      <c r="E23" s="45" t="str">
        <f>IF(AND(B23="",C23="",D23=""),"",IF(B23="","⚠ Rubrique manquante",IF(ISNA(MATCH(B23,L_Rubriques,0)),"⚠ Rubrique inconnue",IF(D23="","⚠ Valeur manquante",IF(AND(COUNTIF(L_RubriquesPaires,B23)&gt;0,C23=""),"⚠ Libellé manquant",IF(AND(B23="Programme en une phrase",COUNTIF($B$9:B23,B23)&gt;1),"⚠ Une seule ligne",IF(AND(COUNTIF(L_RubriquesPaires,B23)=0,C23&lt;&gt;""),"◔ Libellé ignoré","✓")))))))</f>
        <v/>
      </c>
    </row>
    <row r="24" spans="2:5" ht="21" customHeight="1" x14ac:dyDescent="0.25">
      <c r="B24" s="43"/>
      <c r="C24" s="43"/>
      <c r="D24" s="43"/>
      <c r="E24" s="45" t="str">
        <f>IF(AND(B24="",C24="",D24=""),"",IF(B24="","⚠ Rubrique manquante",IF(ISNA(MATCH(B24,L_Rubriques,0)),"⚠ Rubrique inconnue",IF(D24="","⚠ Valeur manquante",IF(AND(COUNTIF(L_RubriquesPaires,B24)&gt;0,C24=""),"⚠ Libellé manquant",IF(AND(B24="Programme en une phrase",COUNTIF($B$9:B24,B24)&gt;1),"⚠ Une seule ligne",IF(AND(COUNTIF(L_RubriquesPaires,B24)=0,C24&lt;&gt;""),"◔ Libellé ignoré","✓")))))))</f>
        <v/>
      </c>
    </row>
    <row r="25" spans="2:5" ht="21" customHeight="1" x14ac:dyDescent="0.25">
      <c r="B25" s="43"/>
      <c r="C25" s="43"/>
      <c r="D25" s="43"/>
      <c r="E25" s="45" t="str">
        <f>IF(AND(B25="",C25="",D25=""),"",IF(B25="","⚠ Rubrique manquante",IF(ISNA(MATCH(B25,L_Rubriques,0)),"⚠ Rubrique inconnue",IF(D25="","⚠ Valeur manquante",IF(AND(COUNTIF(L_RubriquesPaires,B25)&gt;0,C25=""),"⚠ Libellé manquant",IF(AND(B25="Programme en une phrase",COUNTIF($B$9:B25,B25)&gt;1),"⚠ Une seule ligne",IF(AND(COUNTIF(L_RubriquesPaires,B25)=0,C25&lt;&gt;""),"◔ Libellé ignoré","✓")))))))</f>
        <v/>
      </c>
    </row>
    <row r="26" spans="2:5" ht="21" customHeight="1" x14ac:dyDescent="0.25">
      <c r="B26" s="43"/>
      <c r="C26" s="43"/>
      <c r="D26" s="43"/>
      <c r="E26" s="45" t="str">
        <f>IF(AND(B26="",C26="",D26=""),"",IF(B26="","⚠ Rubrique manquante",IF(ISNA(MATCH(B26,L_Rubriques,0)),"⚠ Rubrique inconnue",IF(D26="","⚠ Valeur manquante",IF(AND(COUNTIF(L_RubriquesPaires,B26)&gt;0,C26=""),"⚠ Libellé manquant",IF(AND(B26="Programme en une phrase",COUNTIF($B$9:B26,B26)&gt;1),"⚠ Une seule ligne",IF(AND(COUNTIF(L_RubriquesPaires,B26)=0,C26&lt;&gt;""),"◔ Libellé ignoré","✓")))))))</f>
        <v/>
      </c>
    </row>
    <row r="27" spans="2:5" ht="21" customHeight="1" x14ac:dyDescent="0.25">
      <c r="B27" s="43"/>
      <c r="C27" s="43"/>
      <c r="D27" s="43"/>
      <c r="E27" s="45" t="str">
        <f>IF(AND(B27="",C27="",D27=""),"",IF(B27="","⚠ Rubrique manquante",IF(ISNA(MATCH(B27,L_Rubriques,0)),"⚠ Rubrique inconnue",IF(D27="","⚠ Valeur manquante",IF(AND(COUNTIF(L_RubriquesPaires,B27)&gt;0,C27=""),"⚠ Libellé manquant",IF(AND(B27="Programme en une phrase",COUNTIF($B$9:B27,B27)&gt;1),"⚠ Une seule ligne",IF(AND(COUNTIF(L_RubriquesPaires,B27)=0,C27&lt;&gt;""),"◔ Libellé ignoré","✓")))))))</f>
        <v/>
      </c>
    </row>
    <row r="28" spans="2:5" ht="21" customHeight="1" x14ac:dyDescent="0.25">
      <c r="B28" s="43"/>
      <c r="C28" s="43"/>
      <c r="D28" s="43"/>
      <c r="E28" s="45" t="str">
        <f>IF(AND(B28="",C28="",D28=""),"",IF(B28="","⚠ Rubrique manquante",IF(ISNA(MATCH(B28,L_Rubriques,0)),"⚠ Rubrique inconnue",IF(D28="","⚠ Valeur manquante",IF(AND(COUNTIF(L_RubriquesPaires,B28)&gt;0,C28=""),"⚠ Libellé manquant",IF(AND(B28="Programme en une phrase",COUNTIF($B$9:B28,B28)&gt;1),"⚠ Une seule ligne",IF(AND(COUNTIF(L_RubriquesPaires,B28)=0,C28&lt;&gt;""),"◔ Libellé ignoré","✓")))))))</f>
        <v/>
      </c>
    </row>
    <row r="29" spans="2:5" ht="21" customHeight="1" x14ac:dyDescent="0.25">
      <c r="B29" s="43"/>
      <c r="C29" s="43"/>
      <c r="D29" s="43"/>
      <c r="E29" s="45" t="str">
        <f>IF(AND(B29="",C29="",D29=""),"",IF(B29="","⚠ Rubrique manquante",IF(ISNA(MATCH(B29,L_Rubriques,0)),"⚠ Rubrique inconnue",IF(D29="","⚠ Valeur manquante",IF(AND(COUNTIF(L_RubriquesPaires,B29)&gt;0,C29=""),"⚠ Libellé manquant",IF(AND(B29="Programme en une phrase",COUNTIF($B$9:B29,B29)&gt;1),"⚠ Une seule ligne",IF(AND(COUNTIF(L_RubriquesPaires,B29)=0,C29&lt;&gt;""),"◔ Libellé ignoré","✓")))))))</f>
        <v/>
      </c>
    </row>
    <row r="30" spans="2:5" ht="21" customHeight="1" x14ac:dyDescent="0.25">
      <c r="B30" s="43"/>
      <c r="C30" s="43"/>
      <c r="D30" s="43"/>
      <c r="E30" s="45" t="str">
        <f>IF(AND(B30="",C30="",D30=""),"",IF(B30="","⚠ Rubrique manquante",IF(ISNA(MATCH(B30,L_Rubriques,0)),"⚠ Rubrique inconnue",IF(D30="","⚠ Valeur manquante",IF(AND(COUNTIF(L_RubriquesPaires,B30)&gt;0,C30=""),"⚠ Libellé manquant",IF(AND(B30="Programme en une phrase",COUNTIF($B$9:B30,B30)&gt;1),"⚠ Une seule ligne",IF(AND(COUNTIF(L_RubriquesPaires,B30)=0,C30&lt;&gt;""),"◔ Libellé ignoré","✓")))))))</f>
        <v/>
      </c>
    </row>
    <row r="31" spans="2:5" ht="21" customHeight="1" x14ac:dyDescent="0.25">
      <c r="B31" s="43"/>
      <c r="C31" s="43"/>
      <c r="D31" s="43"/>
      <c r="E31" s="45" t="str">
        <f>IF(AND(B31="",C31="",D31=""),"",IF(B31="","⚠ Rubrique manquante",IF(ISNA(MATCH(B31,L_Rubriques,0)),"⚠ Rubrique inconnue",IF(D31="","⚠ Valeur manquante",IF(AND(COUNTIF(L_RubriquesPaires,B31)&gt;0,C31=""),"⚠ Libellé manquant",IF(AND(B31="Programme en une phrase",COUNTIF($B$9:B31,B31)&gt;1),"⚠ Une seule ligne",IF(AND(COUNTIF(L_RubriquesPaires,B31)=0,C31&lt;&gt;""),"◔ Libellé ignoré","✓")))))))</f>
        <v/>
      </c>
    </row>
    <row r="32" spans="2:5" ht="21" customHeight="1" x14ac:dyDescent="0.25">
      <c r="B32" s="43"/>
      <c r="C32" s="43"/>
      <c r="D32" s="43"/>
      <c r="E32" s="45" t="str">
        <f>IF(AND(B32="",C32="",D32=""),"",IF(B32="","⚠ Rubrique manquante",IF(ISNA(MATCH(B32,L_Rubriques,0)),"⚠ Rubrique inconnue",IF(D32="","⚠ Valeur manquante",IF(AND(COUNTIF(L_RubriquesPaires,B32)&gt;0,C32=""),"⚠ Libellé manquant",IF(AND(B32="Programme en une phrase",COUNTIF($B$9:B32,B32)&gt;1),"⚠ Une seule ligne",IF(AND(COUNTIF(L_RubriquesPaires,B32)=0,C32&lt;&gt;""),"◔ Libellé ignoré","✓")))))))</f>
        <v/>
      </c>
    </row>
    <row r="33" spans="2:5" ht="21" customHeight="1" x14ac:dyDescent="0.25">
      <c r="B33" s="43"/>
      <c r="C33" s="43"/>
      <c r="D33" s="43"/>
      <c r="E33" s="45" t="str">
        <f>IF(AND(B33="",C33="",D33=""),"",IF(B33="","⚠ Rubrique manquante",IF(ISNA(MATCH(B33,L_Rubriques,0)),"⚠ Rubrique inconnue",IF(D33="","⚠ Valeur manquante",IF(AND(COUNTIF(L_RubriquesPaires,B33)&gt;0,C33=""),"⚠ Libellé manquant",IF(AND(B33="Programme en une phrase",COUNTIF($B$9:B33,B33)&gt;1),"⚠ Une seule ligne",IF(AND(COUNTIF(L_RubriquesPaires,B33)=0,C33&lt;&gt;""),"◔ Libellé ignoré","✓")))))))</f>
        <v/>
      </c>
    </row>
    <row r="34" spans="2:5" ht="21" customHeight="1" x14ac:dyDescent="0.25">
      <c r="B34" s="43"/>
      <c r="C34" s="43"/>
      <c r="D34" s="43"/>
      <c r="E34" s="45" t="str">
        <f>IF(AND(B34="",C34="",D34=""),"",IF(B34="","⚠ Rubrique manquante",IF(ISNA(MATCH(B34,L_Rubriques,0)),"⚠ Rubrique inconnue",IF(D34="","⚠ Valeur manquante",IF(AND(COUNTIF(L_RubriquesPaires,B34)&gt;0,C34=""),"⚠ Libellé manquant",IF(AND(B34="Programme en une phrase",COUNTIF($B$9:B34,B34)&gt;1),"⚠ Une seule ligne",IF(AND(COUNTIF(L_RubriquesPaires,B34)=0,C34&lt;&gt;""),"◔ Libellé ignoré","✓")))))))</f>
        <v/>
      </c>
    </row>
    <row r="35" spans="2:5" ht="21" customHeight="1" x14ac:dyDescent="0.25">
      <c r="B35" s="43"/>
      <c r="C35" s="43"/>
      <c r="D35" s="43"/>
      <c r="E35" s="45" t="str">
        <f>IF(AND(B35="",C35="",D35=""),"",IF(B35="","⚠ Rubrique manquante",IF(ISNA(MATCH(B35,L_Rubriques,0)),"⚠ Rubrique inconnue",IF(D35="","⚠ Valeur manquante",IF(AND(COUNTIF(L_RubriquesPaires,B35)&gt;0,C35=""),"⚠ Libellé manquant",IF(AND(B35="Programme en une phrase",COUNTIF($B$9:B35,B35)&gt;1),"⚠ Une seule ligne",IF(AND(COUNTIF(L_RubriquesPaires,B35)=0,C35&lt;&gt;""),"◔ Libellé ignoré","✓")))))))</f>
        <v/>
      </c>
    </row>
    <row r="36" spans="2:5" ht="21" customHeight="1" x14ac:dyDescent="0.25">
      <c r="B36" s="43"/>
      <c r="C36" s="43"/>
      <c r="D36" s="43"/>
      <c r="E36" s="45" t="str">
        <f>IF(AND(B36="",C36="",D36=""),"",IF(B36="","⚠ Rubrique manquante",IF(ISNA(MATCH(B36,L_Rubriques,0)),"⚠ Rubrique inconnue",IF(D36="","⚠ Valeur manquante",IF(AND(COUNTIF(L_RubriquesPaires,B36)&gt;0,C36=""),"⚠ Libellé manquant",IF(AND(B36="Programme en une phrase",COUNTIF($B$9:B36,B36)&gt;1),"⚠ Une seule ligne",IF(AND(COUNTIF(L_RubriquesPaires,B36)=0,C36&lt;&gt;""),"◔ Libellé ignoré","✓")))))))</f>
        <v/>
      </c>
    </row>
    <row r="37" spans="2:5" ht="21" customHeight="1" x14ac:dyDescent="0.25">
      <c r="B37" s="43"/>
      <c r="C37" s="43"/>
      <c r="D37" s="43"/>
      <c r="E37" s="45" t="str">
        <f>IF(AND(B37="",C37="",D37=""),"",IF(B37="","⚠ Rubrique manquante",IF(ISNA(MATCH(B37,L_Rubriques,0)),"⚠ Rubrique inconnue",IF(D37="","⚠ Valeur manquante",IF(AND(COUNTIF(L_RubriquesPaires,B37)&gt;0,C37=""),"⚠ Libellé manquant",IF(AND(B37="Programme en une phrase",COUNTIF($B$9:B37,B37)&gt;1),"⚠ Une seule ligne",IF(AND(COUNTIF(L_RubriquesPaires,B37)=0,C37&lt;&gt;""),"◔ Libellé ignoré","✓")))))))</f>
        <v/>
      </c>
    </row>
    <row r="38" spans="2:5" ht="21" customHeight="1" x14ac:dyDescent="0.25">
      <c r="B38" s="43"/>
      <c r="C38" s="43"/>
      <c r="D38" s="43"/>
      <c r="E38" s="45" t="str">
        <f>IF(AND(B38="",C38="",D38=""),"",IF(B38="","⚠ Rubrique manquante",IF(ISNA(MATCH(B38,L_Rubriques,0)),"⚠ Rubrique inconnue",IF(D38="","⚠ Valeur manquante",IF(AND(COUNTIF(L_RubriquesPaires,B38)&gt;0,C38=""),"⚠ Libellé manquant",IF(AND(B38="Programme en une phrase",COUNTIF($B$9:B38,B38)&gt;1),"⚠ Une seule ligne",IF(AND(COUNTIF(L_RubriquesPaires,B38)=0,C38&lt;&gt;""),"◔ Libellé ignoré","✓")))))))</f>
        <v/>
      </c>
    </row>
    <row r="39" spans="2:5" ht="21" customHeight="1" x14ac:dyDescent="0.25">
      <c r="B39" s="43"/>
      <c r="C39" s="43"/>
      <c r="D39" s="43"/>
      <c r="E39" s="45" t="str">
        <f>IF(AND(B39="",C39="",D39=""),"",IF(B39="","⚠ Rubrique manquante",IF(ISNA(MATCH(B39,L_Rubriques,0)),"⚠ Rubrique inconnue",IF(D39="","⚠ Valeur manquante",IF(AND(COUNTIF(L_RubriquesPaires,B39)&gt;0,C39=""),"⚠ Libellé manquant",IF(AND(B39="Programme en une phrase",COUNTIF($B$9:B39,B39)&gt;1),"⚠ Une seule ligne",IF(AND(COUNTIF(L_RubriquesPaires,B39)=0,C39&lt;&gt;""),"◔ Libellé ignoré","✓")))))))</f>
        <v/>
      </c>
    </row>
    <row r="40" spans="2:5" ht="21" customHeight="1" x14ac:dyDescent="0.25">
      <c r="B40" s="43"/>
      <c r="C40" s="43"/>
      <c r="D40" s="43"/>
      <c r="E40" s="45" t="str">
        <f>IF(AND(B40="",C40="",D40=""),"",IF(B40="","⚠ Rubrique manquante",IF(ISNA(MATCH(B40,L_Rubriques,0)),"⚠ Rubrique inconnue",IF(D40="","⚠ Valeur manquante",IF(AND(COUNTIF(L_RubriquesPaires,B40)&gt;0,C40=""),"⚠ Libellé manquant",IF(AND(B40="Programme en une phrase",COUNTIF($B$9:B40,B40)&gt;1),"⚠ Une seule ligne",IF(AND(COUNTIF(L_RubriquesPaires,B40)=0,C40&lt;&gt;""),"◔ Libellé ignoré","✓")))))))</f>
        <v/>
      </c>
    </row>
    <row r="41" spans="2:5" ht="21" customHeight="1" x14ac:dyDescent="0.25">
      <c r="B41" s="43"/>
      <c r="C41" s="43"/>
      <c r="D41" s="43"/>
      <c r="E41" s="45" t="str">
        <f>IF(AND(B41="",C41="",D41=""),"",IF(B41="","⚠ Rubrique manquante",IF(ISNA(MATCH(B41,L_Rubriques,0)),"⚠ Rubrique inconnue",IF(D41="","⚠ Valeur manquante",IF(AND(COUNTIF(L_RubriquesPaires,B41)&gt;0,C41=""),"⚠ Libellé manquant",IF(AND(B41="Programme en une phrase",COUNTIF($B$9:B41,B41)&gt;1),"⚠ Une seule ligne",IF(AND(COUNTIF(L_RubriquesPaires,B41)=0,C41&lt;&gt;""),"◔ Libellé ignoré","✓")))))))</f>
        <v/>
      </c>
    </row>
    <row r="42" spans="2:5" ht="21" customHeight="1" x14ac:dyDescent="0.25">
      <c r="B42" s="43"/>
      <c r="C42" s="43"/>
      <c r="D42" s="43"/>
      <c r="E42" s="45" t="str">
        <f>IF(AND(B42="",C42="",D42=""),"",IF(B42="","⚠ Rubrique manquante",IF(ISNA(MATCH(B42,L_Rubriques,0)),"⚠ Rubrique inconnue",IF(D42="","⚠ Valeur manquante",IF(AND(COUNTIF(L_RubriquesPaires,B42)&gt;0,C42=""),"⚠ Libellé manquant",IF(AND(B42="Programme en une phrase",COUNTIF($B$9:B42,B42)&gt;1),"⚠ Une seule ligne",IF(AND(COUNTIF(L_RubriquesPaires,B42)=0,C42&lt;&gt;""),"◔ Libellé ignoré","✓")))))))</f>
        <v/>
      </c>
    </row>
    <row r="43" spans="2:5" ht="21" customHeight="1" x14ac:dyDescent="0.25">
      <c r="B43" s="43"/>
      <c r="C43" s="43"/>
      <c r="D43" s="43"/>
      <c r="E43" s="45" t="str">
        <f>IF(AND(B43="",C43="",D43=""),"",IF(B43="","⚠ Rubrique manquante",IF(ISNA(MATCH(B43,L_Rubriques,0)),"⚠ Rubrique inconnue",IF(D43="","⚠ Valeur manquante",IF(AND(COUNTIF(L_RubriquesPaires,B43)&gt;0,C43=""),"⚠ Libellé manquant",IF(AND(B43="Programme en une phrase",COUNTIF($B$9:B43,B43)&gt;1),"⚠ Une seule ligne",IF(AND(COUNTIF(L_RubriquesPaires,B43)=0,C43&lt;&gt;""),"◔ Libellé ignoré","✓")))))))</f>
        <v/>
      </c>
    </row>
    <row r="44" spans="2:5" ht="21" customHeight="1" x14ac:dyDescent="0.25">
      <c r="B44" s="43"/>
      <c r="C44" s="43"/>
      <c r="D44" s="43"/>
      <c r="E44" s="45" t="str">
        <f>IF(AND(B44="",C44="",D44=""),"",IF(B44="","⚠ Rubrique manquante",IF(ISNA(MATCH(B44,L_Rubriques,0)),"⚠ Rubrique inconnue",IF(D44="","⚠ Valeur manquante",IF(AND(COUNTIF(L_RubriquesPaires,B44)&gt;0,C44=""),"⚠ Libellé manquant",IF(AND(B44="Programme en une phrase",COUNTIF($B$9:B44,B44)&gt;1),"⚠ Une seule ligne",IF(AND(COUNTIF(L_RubriquesPaires,B44)=0,C44&lt;&gt;""),"◔ Libellé ignoré","✓")))))))</f>
        <v/>
      </c>
    </row>
    <row r="45" spans="2:5" ht="21" customHeight="1" x14ac:dyDescent="0.25">
      <c r="B45" s="43"/>
      <c r="C45" s="43"/>
      <c r="D45" s="43"/>
      <c r="E45" s="45" t="str">
        <f>IF(AND(B45="",C45="",D45=""),"",IF(B45="","⚠ Rubrique manquante",IF(ISNA(MATCH(B45,L_Rubriques,0)),"⚠ Rubrique inconnue",IF(D45="","⚠ Valeur manquante",IF(AND(COUNTIF(L_RubriquesPaires,B45)&gt;0,C45=""),"⚠ Libellé manquant",IF(AND(B45="Programme en une phrase",COUNTIF($B$9:B45,B45)&gt;1),"⚠ Une seule ligne",IF(AND(COUNTIF(L_RubriquesPaires,B45)=0,C45&lt;&gt;""),"◔ Libellé ignoré","✓")))))))</f>
        <v/>
      </c>
    </row>
    <row r="46" spans="2:5" ht="21" customHeight="1" x14ac:dyDescent="0.25">
      <c r="B46" s="43"/>
      <c r="C46" s="43"/>
      <c r="D46" s="43"/>
      <c r="E46" s="45" t="str">
        <f>IF(AND(B46="",C46="",D46=""),"",IF(B46="","⚠ Rubrique manquante",IF(ISNA(MATCH(B46,L_Rubriques,0)),"⚠ Rubrique inconnue",IF(D46="","⚠ Valeur manquante",IF(AND(COUNTIF(L_RubriquesPaires,B46)&gt;0,C46=""),"⚠ Libellé manquant",IF(AND(B46="Programme en une phrase",COUNTIF($B$9:B46,B46)&gt;1),"⚠ Une seule ligne",IF(AND(COUNTIF(L_RubriquesPaires,B46)=0,C46&lt;&gt;""),"◔ Libellé ignoré","✓")))))))</f>
        <v/>
      </c>
    </row>
    <row r="47" spans="2:5" ht="21" customHeight="1" x14ac:dyDescent="0.25">
      <c r="B47" s="43"/>
      <c r="C47" s="43"/>
      <c r="D47" s="43"/>
      <c r="E47" s="45" t="str">
        <f>IF(AND(B47="",C47="",D47=""),"",IF(B47="","⚠ Rubrique manquante",IF(ISNA(MATCH(B47,L_Rubriques,0)),"⚠ Rubrique inconnue",IF(D47="","⚠ Valeur manquante",IF(AND(COUNTIF(L_RubriquesPaires,B47)&gt;0,C47=""),"⚠ Libellé manquant",IF(AND(B47="Programme en une phrase",COUNTIF($B$9:B47,B47)&gt;1),"⚠ Une seule ligne",IF(AND(COUNTIF(L_RubriquesPaires,B47)=0,C47&lt;&gt;""),"◔ Libellé ignoré","✓")))))))</f>
        <v/>
      </c>
    </row>
    <row r="48" spans="2:5" ht="21" customHeight="1" x14ac:dyDescent="0.25">
      <c r="B48" s="43"/>
      <c r="C48" s="43"/>
      <c r="D48" s="43"/>
      <c r="E48" s="45" t="str">
        <f>IF(AND(B48="",C48="",D48=""),"",IF(B48="","⚠ Rubrique manquante",IF(ISNA(MATCH(B48,L_Rubriques,0)),"⚠ Rubrique inconnue",IF(D48="","⚠ Valeur manquante",IF(AND(COUNTIF(L_RubriquesPaires,B48)&gt;0,C48=""),"⚠ Libellé manquant",IF(AND(B48="Programme en une phrase",COUNTIF($B$9:B48,B48)&gt;1),"⚠ Une seule ligne",IF(AND(COUNTIF(L_RubriquesPaires,B48)=0,C48&lt;&gt;""),"◔ Libellé ignoré","✓")))))))</f>
        <v/>
      </c>
    </row>
    <row r="49" spans="2:5" ht="21" customHeight="1" x14ac:dyDescent="0.25">
      <c r="B49" s="43"/>
      <c r="C49" s="43"/>
      <c r="D49" s="43"/>
      <c r="E49" s="45" t="str">
        <f>IF(AND(B49="",C49="",D49=""),"",IF(B49="","⚠ Rubrique manquante",IF(ISNA(MATCH(B49,L_Rubriques,0)),"⚠ Rubrique inconnue",IF(D49="","⚠ Valeur manquante",IF(AND(COUNTIF(L_RubriquesPaires,B49)&gt;0,C49=""),"⚠ Libellé manquant",IF(AND(B49="Programme en une phrase",COUNTIF($B$9:B49,B49)&gt;1),"⚠ Une seule ligne",IF(AND(COUNTIF(L_RubriquesPaires,B49)=0,C49&lt;&gt;""),"◔ Libellé ignoré","✓")))))))</f>
        <v/>
      </c>
    </row>
    <row r="50" spans="2:5" ht="21" customHeight="1" x14ac:dyDescent="0.25">
      <c r="B50" s="43"/>
      <c r="C50" s="43"/>
      <c r="D50" s="43"/>
      <c r="E50" s="45" t="str">
        <f>IF(AND(B50="",C50="",D50=""),"",IF(B50="","⚠ Rubrique manquante",IF(ISNA(MATCH(B50,L_Rubriques,0)),"⚠ Rubrique inconnue",IF(D50="","⚠ Valeur manquante",IF(AND(COUNTIF(L_RubriquesPaires,B50)&gt;0,C50=""),"⚠ Libellé manquant",IF(AND(B50="Programme en une phrase",COUNTIF($B$9:B50,B50)&gt;1),"⚠ Une seule ligne",IF(AND(COUNTIF(L_RubriquesPaires,B50)=0,C50&lt;&gt;""),"◔ Libellé ignoré","✓")))))))</f>
        <v/>
      </c>
    </row>
    <row r="51" spans="2:5" ht="21" customHeight="1" x14ac:dyDescent="0.25">
      <c r="B51" s="43"/>
      <c r="C51" s="43"/>
      <c r="D51" s="43"/>
      <c r="E51" s="45" t="str">
        <f>IF(AND(B51="",C51="",D51=""),"",IF(B51="","⚠ Rubrique manquante",IF(ISNA(MATCH(B51,L_Rubriques,0)),"⚠ Rubrique inconnue",IF(D51="","⚠ Valeur manquante",IF(AND(COUNTIF(L_RubriquesPaires,B51)&gt;0,C51=""),"⚠ Libellé manquant",IF(AND(B51="Programme en une phrase",COUNTIF($B$9:B51,B51)&gt;1),"⚠ Une seule ligne",IF(AND(COUNTIF(L_RubriquesPaires,B51)=0,C51&lt;&gt;""),"◔ Libellé ignoré","✓")))))))</f>
        <v/>
      </c>
    </row>
    <row r="52" spans="2:5" ht="21" customHeight="1" x14ac:dyDescent="0.25">
      <c r="B52" s="43"/>
      <c r="C52" s="43"/>
      <c r="D52" s="43"/>
      <c r="E52" s="45" t="str">
        <f>IF(AND(B52="",C52="",D52=""),"",IF(B52="","⚠ Rubrique manquante",IF(ISNA(MATCH(B52,L_Rubriques,0)),"⚠ Rubrique inconnue",IF(D52="","⚠ Valeur manquante",IF(AND(COUNTIF(L_RubriquesPaires,B52)&gt;0,C52=""),"⚠ Libellé manquant",IF(AND(B52="Programme en une phrase",COUNTIF($B$9:B52,B52)&gt;1),"⚠ Une seule ligne",IF(AND(COUNTIF(L_RubriquesPaires,B52)=0,C52&lt;&gt;""),"◔ Libellé ignoré","✓")))))))</f>
        <v/>
      </c>
    </row>
    <row r="53" spans="2:5" ht="21" customHeight="1" x14ac:dyDescent="0.25">
      <c r="B53" s="43"/>
      <c r="C53" s="43"/>
      <c r="D53" s="43"/>
      <c r="E53" s="45" t="str">
        <f>IF(AND(B53="",C53="",D53=""),"",IF(B53="","⚠ Rubrique manquante",IF(ISNA(MATCH(B53,L_Rubriques,0)),"⚠ Rubrique inconnue",IF(D53="","⚠ Valeur manquante",IF(AND(COUNTIF(L_RubriquesPaires,B53)&gt;0,C53=""),"⚠ Libellé manquant",IF(AND(B53="Programme en une phrase",COUNTIF($B$9:B53,B53)&gt;1),"⚠ Une seule ligne",IF(AND(COUNTIF(L_RubriquesPaires,B53)=0,C53&lt;&gt;""),"◔ Libellé ignoré","✓")))))))</f>
        <v/>
      </c>
    </row>
    <row r="54" spans="2:5" ht="21" customHeight="1" x14ac:dyDescent="0.25">
      <c r="B54" s="43"/>
      <c r="C54" s="43"/>
      <c r="D54" s="43"/>
      <c r="E54" s="45" t="str">
        <f>IF(AND(B54="",C54="",D54=""),"",IF(B54="","⚠ Rubrique manquante",IF(ISNA(MATCH(B54,L_Rubriques,0)),"⚠ Rubrique inconnue",IF(D54="","⚠ Valeur manquante",IF(AND(COUNTIF(L_RubriquesPaires,B54)&gt;0,C54=""),"⚠ Libellé manquant",IF(AND(B54="Programme en une phrase",COUNTIF($B$9:B54,B54)&gt;1),"⚠ Une seule ligne",IF(AND(COUNTIF(L_RubriquesPaires,B54)=0,C54&lt;&gt;""),"◔ Libellé ignoré","✓")))))))</f>
        <v/>
      </c>
    </row>
    <row r="55" spans="2:5" ht="21" customHeight="1" x14ac:dyDescent="0.25">
      <c r="B55" s="43"/>
      <c r="C55" s="43"/>
      <c r="D55" s="43"/>
      <c r="E55" s="45" t="str">
        <f>IF(AND(B55="",C55="",D55=""),"",IF(B55="","⚠ Rubrique manquante",IF(ISNA(MATCH(B55,L_Rubriques,0)),"⚠ Rubrique inconnue",IF(D55="","⚠ Valeur manquante",IF(AND(COUNTIF(L_RubriquesPaires,B55)&gt;0,C55=""),"⚠ Libellé manquant",IF(AND(B55="Programme en une phrase",COUNTIF($B$9:B55,B55)&gt;1),"⚠ Une seule ligne",IF(AND(COUNTIF(L_RubriquesPaires,B55)=0,C55&lt;&gt;""),"◔ Libellé ignoré","✓")))))))</f>
        <v/>
      </c>
    </row>
    <row r="56" spans="2:5" ht="21" customHeight="1" x14ac:dyDescent="0.25">
      <c r="B56" s="43"/>
      <c r="C56" s="43"/>
      <c r="D56" s="43"/>
      <c r="E56" s="45" t="str">
        <f>IF(AND(B56="",C56="",D56=""),"",IF(B56="","⚠ Rubrique manquante",IF(ISNA(MATCH(B56,L_Rubriques,0)),"⚠ Rubrique inconnue",IF(D56="","⚠ Valeur manquante",IF(AND(COUNTIF(L_RubriquesPaires,B56)&gt;0,C56=""),"⚠ Libellé manquant",IF(AND(B56="Programme en une phrase",COUNTIF($B$9:B56,B56)&gt;1),"⚠ Une seule ligne",IF(AND(COUNTIF(L_RubriquesPaires,B56)=0,C56&lt;&gt;""),"◔ Libellé ignoré","✓")))))))</f>
        <v/>
      </c>
    </row>
    <row r="57" spans="2:5" ht="21" customHeight="1" x14ac:dyDescent="0.25">
      <c r="B57" s="43"/>
      <c r="C57" s="43"/>
      <c r="D57" s="43"/>
      <c r="E57" s="45" t="str">
        <f>IF(AND(B57="",C57="",D57=""),"",IF(B57="","⚠ Rubrique manquante",IF(ISNA(MATCH(B57,L_Rubriques,0)),"⚠ Rubrique inconnue",IF(D57="","⚠ Valeur manquante",IF(AND(COUNTIF(L_RubriquesPaires,B57)&gt;0,C57=""),"⚠ Libellé manquant",IF(AND(B57="Programme en une phrase",COUNTIF($B$9:B57,B57)&gt;1),"⚠ Une seule ligne",IF(AND(COUNTIF(L_RubriquesPaires,B57)=0,C57&lt;&gt;""),"◔ Libellé ignoré","✓")))))))</f>
        <v/>
      </c>
    </row>
    <row r="58" spans="2:5" ht="21" customHeight="1" x14ac:dyDescent="0.25">
      <c r="B58" s="43"/>
      <c r="C58" s="43"/>
      <c r="D58" s="43"/>
      <c r="E58" s="45" t="str">
        <f>IF(AND(B58="",C58="",D58=""),"",IF(B58="","⚠ Rubrique manquante",IF(ISNA(MATCH(B58,L_Rubriques,0)),"⚠ Rubrique inconnue",IF(D58="","⚠ Valeur manquante",IF(AND(COUNTIF(L_RubriquesPaires,B58)&gt;0,C58=""),"⚠ Libellé manquant",IF(AND(B58="Programme en une phrase",COUNTIF($B$9:B58,B58)&gt;1),"⚠ Une seule ligne",IF(AND(COUNTIF(L_RubriquesPaires,B58)=0,C58&lt;&gt;""),"◔ Libellé ignoré","✓")))))))</f>
        <v/>
      </c>
    </row>
    <row r="59" spans="2:5" ht="21" customHeight="1" x14ac:dyDescent="0.25">
      <c r="B59" s="43"/>
      <c r="C59" s="43"/>
      <c r="D59" s="43"/>
      <c r="E59" s="45" t="str">
        <f>IF(AND(B59="",C59="",D59=""),"",IF(B59="","⚠ Rubrique manquante",IF(ISNA(MATCH(B59,L_Rubriques,0)),"⚠ Rubrique inconnue",IF(D59="","⚠ Valeur manquante",IF(AND(COUNTIF(L_RubriquesPaires,B59)&gt;0,C59=""),"⚠ Libellé manquant",IF(AND(B59="Programme en une phrase",COUNTIF($B$9:B59,B59)&gt;1),"⚠ Une seule ligne",IF(AND(COUNTIF(L_RubriquesPaires,B59)=0,C59&lt;&gt;""),"◔ Libellé ignoré","✓")))))))</f>
        <v/>
      </c>
    </row>
    <row r="60" spans="2:5" ht="21" customHeight="1" x14ac:dyDescent="0.25">
      <c r="B60" s="43"/>
      <c r="C60" s="43"/>
      <c r="D60" s="43"/>
      <c r="E60" s="45" t="str">
        <f>IF(AND(B60="",C60="",D60=""),"",IF(B60="","⚠ Rubrique manquante",IF(ISNA(MATCH(B60,L_Rubriques,0)),"⚠ Rubrique inconnue",IF(D60="","⚠ Valeur manquante",IF(AND(COUNTIF(L_RubriquesPaires,B60)&gt;0,C60=""),"⚠ Libellé manquant",IF(AND(B60="Programme en une phrase",COUNTIF($B$9:B60,B60)&gt;1),"⚠ Une seule ligne",IF(AND(COUNTIF(L_RubriquesPaires,B60)=0,C60&lt;&gt;""),"◔ Libellé ignoré","✓")))))))</f>
        <v/>
      </c>
    </row>
    <row r="61" spans="2:5" ht="21" customHeight="1" x14ac:dyDescent="0.25">
      <c r="B61" s="43"/>
      <c r="C61" s="43"/>
      <c r="D61" s="43"/>
      <c r="E61" s="45" t="str">
        <f>IF(AND(B61="",C61="",D61=""),"",IF(B61="","⚠ Rubrique manquante",IF(ISNA(MATCH(B61,L_Rubriques,0)),"⚠ Rubrique inconnue",IF(D61="","⚠ Valeur manquante",IF(AND(COUNTIF(L_RubriquesPaires,B61)&gt;0,C61=""),"⚠ Libellé manquant",IF(AND(B61="Programme en une phrase",COUNTIF($B$9:B61,B61)&gt;1),"⚠ Une seule ligne",IF(AND(COUNTIF(L_RubriquesPaires,B61)=0,C61&lt;&gt;""),"◔ Libellé ignoré","✓")))))))</f>
        <v/>
      </c>
    </row>
    <row r="62" spans="2:5" ht="21" customHeight="1" x14ac:dyDescent="0.25">
      <c r="B62" s="43"/>
      <c r="C62" s="43"/>
      <c r="D62" s="43"/>
      <c r="E62" s="45" t="str">
        <f>IF(AND(B62="",C62="",D62=""),"",IF(B62="","⚠ Rubrique manquante",IF(ISNA(MATCH(B62,L_Rubriques,0)),"⚠ Rubrique inconnue",IF(D62="","⚠ Valeur manquante",IF(AND(COUNTIF(L_RubriquesPaires,B62)&gt;0,C62=""),"⚠ Libellé manquant",IF(AND(B62="Programme en une phrase",COUNTIF($B$9:B62,B62)&gt;1),"⚠ Une seule ligne",IF(AND(COUNTIF(L_RubriquesPaires,B62)=0,C62&lt;&gt;""),"◔ Libellé ignoré","✓")))))))</f>
        <v/>
      </c>
    </row>
    <row r="63" spans="2:5" ht="21" customHeight="1" x14ac:dyDescent="0.25">
      <c r="B63" s="43"/>
      <c r="C63" s="43"/>
      <c r="D63" s="43"/>
      <c r="E63" s="45" t="str">
        <f>IF(AND(B63="",C63="",D63=""),"",IF(B63="","⚠ Rubrique manquante",IF(ISNA(MATCH(B63,L_Rubriques,0)),"⚠ Rubrique inconnue",IF(D63="","⚠ Valeur manquante",IF(AND(COUNTIF(L_RubriquesPaires,B63)&gt;0,C63=""),"⚠ Libellé manquant",IF(AND(B63="Programme en une phrase",COUNTIF($B$9:B63,B63)&gt;1),"⚠ Une seule ligne",IF(AND(COUNTIF(L_RubriquesPaires,B63)=0,C63&lt;&gt;""),"◔ Libellé ignoré","✓")))))))</f>
        <v/>
      </c>
    </row>
    <row r="64" spans="2:5" ht="21" customHeight="1" x14ac:dyDescent="0.25">
      <c r="B64" s="43"/>
      <c r="C64" s="43"/>
      <c r="D64" s="43"/>
      <c r="E64" s="45" t="str">
        <f>IF(AND(B64="",C64="",D64=""),"",IF(B64="","⚠ Rubrique manquante",IF(ISNA(MATCH(B64,L_Rubriques,0)),"⚠ Rubrique inconnue",IF(D64="","⚠ Valeur manquante",IF(AND(COUNTIF(L_RubriquesPaires,B64)&gt;0,C64=""),"⚠ Libellé manquant",IF(AND(B64="Programme en une phrase",COUNTIF($B$9:B64,B64)&gt;1),"⚠ Une seule ligne",IF(AND(COUNTIF(L_RubriquesPaires,B64)=0,C64&lt;&gt;""),"◔ Libellé ignoré","✓")))))))</f>
        <v/>
      </c>
    </row>
    <row r="65" spans="2:5" ht="21" customHeight="1" x14ac:dyDescent="0.25">
      <c r="B65" s="43"/>
      <c r="C65" s="43"/>
      <c r="D65" s="43"/>
      <c r="E65" s="45" t="str">
        <f>IF(AND(B65="",C65="",D65=""),"",IF(B65="","⚠ Rubrique manquante",IF(ISNA(MATCH(B65,L_Rubriques,0)),"⚠ Rubrique inconnue",IF(D65="","⚠ Valeur manquante",IF(AND(COUNTIF(L_RubriquesPaires,B65)&gt;0,C65=""),"⚠ Libellé manquant",IF(AND(B65="Programme en une phrase",COUNTIF($B$9:B65,B65)&gt;1),"⚠ Une seule ligne",IF(AND(COUNTIF(L_RubriquesPaires,B65)=0,C65&lt;&gt;""),"◔ Libellé ignoré","✓")))))))</f>
        <v/>
      </c>
    </row>
    <row r="66" spans="2:5" ht="21" customHeight="1" x14ac:dyDescent="0.25">
      <c r="B66" s="43"/>
      <c r="C66" s="43"/>
      <c r="D66" s="43"/>
      <c r="E66" s="45" t="str">
        <f>IF(AND(B66="",C66="",D66=""),"",IF(B66="","⚠ Rubrique manquante",IF(ISNA(MATCH(B66,L_Rubriques,0)),"⚠ Rubrique inconnue",IF(D66="","⚠ Valeur manquante",IF(AND(COUNTIF(L_RubriquesPaires,B66)&gt;0,C66=""),"⚠ Libellé manquant",IF(AND(B66="Programme en une phrase",COUNTIF($B$9:B66,B66)&gt;1),"⚠ Une seule ligne",IF(AND(COUNTIF(L_RubriquesPaires,B66)=0,C66&lt;&gt;""),"◔ Libellé ignoré","✓")))))))</f>
        <v/>
      </c>
    </row>
    <row r="67" spans="2:5" ht="21" customHeight="1" x14ac:dyDescent="0.25">
      <c r="B67" s="43"/>
      <c r="C67" s="43"/>
      <c r="D67" s="43"/>
      <c r="E67" s="45" t="str">
        <f>IF(AND(B67="",C67="",D67=""),"",IF(B67="","⚠ Rubrique manquante",IF(ISNA(MATCH(B67,L_Rubriques,0)),"⚠ Rubrique inconnue",IF(D67="","⚠ Valeur manquante",IF(AND(COUNTIF(L_RubriquesPaires,B67)&gt;0,C67=""),"⚠ Libellé manquant",IF(AND(B67="Programme en une phrase",COUNTIF($B$9:B67,B67)&gt;1),"⚠ Une seule ligne",IF(AND(COUNTIF(L_RubriquesPaires,B67)=0,C67&lt;&gt;""),"◔ Libellé ignoré","✓")))))))</f>
        <v/>
      </c>
    </row>
    <row r="68" spans="2:5" ht="21" customHeight="1" x14ac:dyDescent="0.25">
      <c r="B68" s="43"/>
      <c r="C68" s="43"/>
      <c r="D68" s="43"/>
      <c r="E68" s="45" t="str">
        <f>IF(AND(B68="",C68="",D68=""),"",IF(B68="","⚠ Rubrique manquante",IF(ISNA(MATCH(B68,L_Rubriques,0)),"⚠ Rubrique inconnue",IF(D68="","⚠ Valeur manquante",IF(AND(COUNTIF(L_RubriquesPaires,B68)&gt;0,C68=""),"⚠ Libellé manquant",IF(AND(B68="Programme en une phrase",COUNTIF($B$9:B68,B68)&gt;1),"⚠ Une seule ligne",IF(AND(COUNTIF(L_RubriquesPaires,B68)=0,C68&lt;&gt;""),"◔ Libellé ignoré","✓")))))))</f>
        <v/>
      </c>
    </row>
    <row r="69" spans="2:5" ht="21" customHeight="1" x14ac:dyDescent="0.25">
      <c r="B69" s="43"/>
      <c r="C69" s="43"/>
      <c r="D69" s="43"/>
      <c r="E69" s="45" t="str">
        <f>IF(AND(B69="",C69="",D69=""),"",IF(B69="","⚠ Rubrique manquante",IF(ISNA(MATCH(B69,L_Rubriques,0)),"⚠ Rubrique inconnue",IF(D69="","⚠ Valeur manquante",IF(AND(COUNTIF(L_RubriquesPaires,B69)&gt;0,C69=""),"⚠ Libellé manquant",IF(AND(B69="Programme en une phrase",COUNTIF($B$9:B69,B69)&gt;1),"⚠ Une seule ligne",IF(AND(COUNTIF(L_RubriquesPaires,B69)=0,C69&lt;&gt;""),"◔ Libellé ignoré","✓")))))))</f>
        <v/>
      </c>
    </row>
    <row r="70" spans="2:5" ht="21" customHeight="1" x14ac:dyDescent="0.25">
      <c r="B70" s="43"/>
      <c r="C70" s="43"/>
      <c r="D70" s="43"/>
      <c r="E70" s="45" t="str">
        <f>IF(AND(B70="",C70="",D70=""),"",IF(B70="","⚠ Rubrique manquante",IF(ISNA(MATCH(B70,L_Rubriques,0)),"⚠ Rubrique inconnue",IF(D70="","⚠ Valeur manquante",IF(AND(COUNTIF(L_RubriquesPaires,B70)&gt;0,C70=""),"⚠ Libellé manquant",IF(AND(B70="Programme en une phrase",COUNTIF($B$9:B70,B70)&gt;1),"⚠ Une seule ligne",IF(AND(COUNTIF(L_RubriquesPaires,B70)=0,C70&lt;&gt;""),"◔ Libellé ignoré","✓")))))))</f>
        <v/>
      </c>
    </row>
    <row r="71" spans="2:5" ht="21" customHeight="1" x14ac:dyDescent="0.25">
      <c r="B71" s="43"/>
      <c r="C71" s="43"/>
      <c r="D71" s="43"/>
      <c r="E71" s="45" t="str">
        <f>IF(AND(B71="",C71="",D71=""),"",IF(B71="","⚠ Rubrique manquante",IF(ISNA(MATCH(B71,L_Rubriques,0)),"⚠ Rubrique inconnue",IF(D71="","⚠ Valeur manquante",IF(AND(COUNTIF(L_RubriquesPaires,B71)&gt;0,C71=""),"⚠ Libellé manquant",IF(AND(B71="Programme en une phrase",COUNTIF($B$9:B71,B71)&gt;1),"⚠ Une seule ligne",IF(AND(COUNTIF(L_RubriquesPaires,B71)=0,C71&lt;&gt;""),"◔ Libellé ignoré","✓")))))))</f>
        <v/>
      </c>
    </row>
    <row r="72" spans="2:5" ht="21" customHeight="1" x14ac:dyDescent="0.25">
      <c r="B72" s="43"/>
      <c r="C72" s="43"/>
      <c r="D72" s="43"/>
      <c r="E72" s="45" t="str">
        <f>IF(AND(B72="",C72="",D72=""),"",IF(B72="","⚠ Rubrique manquante",IF(ISNA(MATCH(B72,L_Rubriques,0)),"⚠ Rubrique inconnue",IF(D72="","⚠ Valeur manquante",IF(AND(COUNTIF(L_RubriquesPaires,B72)&gt;0,C72=""),"⚠ Libellé manquant",IF(AND(B72="Programme en une phrase",COUNTIF($B$9:B72,B72)&gt;1),"⚠ Une seule ligne",IF(AND(COUNTIF(L_RubriquesPaires,B72)=0,C72&lt;&gt;""),"◔ Libellé ignoré","✓")))))))</f>
        <v/>
      </c>
    </row>
    <row r="73" spans="2:5" ht="21" customHeight="1" x14ac:dyDescent="0.25">
      <c r="B73" s="43"/>
      <c r="C73" s="43"/>
      <c r="D73" s="43"/>
      <c r="E73" s="45" t="str">
        <f>IF(AND(B73="",C73="",D73=""),"",IF(B73="","⚠ Rubrique manquante",IF(ISNA(MATCH(B73,L_Rubriques,0)),"⚠ Rubrique inconnue",IF(D73="","⚠ Valeur manquante",IF(AND(COUNTIF(L_RubriquesPaires,B73)&gt;0,C73=""),"⚠ Libellé manquant",IF(AND(B73="Programme en une phrase",COUNTIF($B$9:B73,B73)&gt;1),"⚠ Une seule ligne",IF(AND(COUNTIF(L_RubriquesPaires,B73)=0,C73&lt;&gt;""),"◔ Libellé ignoré","✓")))))))</f>
        <v/>
      </c>
    </row>
    <row r="74" spans="2:5" ht="21" customHeight="1" x14ac:dyDescent="0.25">
      <c r="B74" s="43"/>
      <c r="C74" s="43"/>
      <c r="D74" s="43"/>
      <c r="E74" s="45" t="str">
        <f>IF(AND(B74="",C74="",D74=""),"",IF(B74="","⚠ Rubrique manquante",IF(ISNA(MATCH(B74,L_Rubriques,0)),"⚠ Rubrique inconnue",IF(D74="","⚠ Valeur manquante",IF(AND(COUNTIF(L_RubriquesPaires,B74)&gt;0,C74=""),"⚠ Libellé manquant",IF(AND(B74="Programme en une phrase",COUNTIF($B$9:B74,B74)&gt;1),"⚠ Une seule ligne",IF(AND(COUNTIF(L_RubriquesPaires,B74)=0,C74&lt;&gt;""),"◔ Libellé ignoré","✓")))))))</f>
        <v/>
      </c>
    </row>
    <row r="75" spans="2:5" ht="21" customHeight="1" x14ac:dyDescent="0.25">
      <c r="B75" s="43"/>
      <c r="C75" s="43"/>
      <c r="D75" s="43"/>
      <c r="E75" s="45" t="str">
        <f>IF(AND(B75="",C75="",D75=""),"",IF(B75="","⚠ Rubrique manquante",IF(ISNA(MATCH(B75,L_Rubriques,0)),"⚠ Rubrique inconnue",IF(D75="","⚠ Valeur manquante",IF(AND(COUNTIF(L_RubriquesPaires,B75)&gt;0,C75=""),"⚠ Libellé manquant",IF(AND(B75="Programme en une phrase",COUNTIF($B$9:B75,B75)&gt;1),"⚠ Une seule ligne",IF(AND(COUNTIF(L_RubriquesPaires,B75)=0,C75&lt;&gt;""),"◔ Libellé ignoré","✓")))))))</f>
        <v/>
      </c>
    </row>
    <row r="76" spans="2:5" ht="21" customHeight="1" x14ac:dyDescent="0.25">
      <c r="B76" s="43"/>
      <c r="C76" s="43"/>
      <c r="D76" s="43"/>
      <c r="E76" s="45" t="str">
        <f>IF(AND(B76="",C76="",D76=""),"",IF(B76="","⚠ Rubrique manquante",IF(ISNA(MATCH(B76,L_Rubriques,0)),"⚠ Rubrique inconnue",IF(D76="","⚠ Valeur manquante",IF(AND(COUNTIF(L_RubriquesPaires,B76)&gt;0,C76=""),"⚠ Libellé manquant",IF(AND(B76="Programme en une phrase",COUNTIF($B$9:B76,B76)&gt;1),"⚠ Une seule ligne",IF(AND(COUNTIF(L_RubriquesPaires,B76)=0,C76&lt;&gt;""),"◔ Libellé ignoré","✓")))))))</f>
        <v/>
      </c>
    </row>
    <row r="77" spans="2:5" ht="21" customHeight="1" x14ac:dyDescent="0.25">
      <c r="B77" s="43"/>
      <c r="C77" s="43"/>
      <c r="D77" s="43"/>
      <c r="E77" s="45" t="str">
        <f>IF(AND(B77="",C77="",D77=""),"",IF(B77="","⚠ Rubrique manquante",IF(ISNA(MATCH(B77,L_Rubriques,0)),"⚠ Rubrique inconnue",IF(D77="","⚠ Valeur manquante",IF(AND(COUNTIF(L_RubriquesPaires,B77)&gt;0,C77=""),"⚠ Libellé manquant",IF(AND(B77="Programme en une phrase",COUNTIF($B$9:B77,B77)&gt;1),"⚠ Une seule ligne",IF(AND(COUNTIF(L_RubriquesPaires,B77)=0,C77&lt;&gt;""),"◔ Libellé ignoré","✓")))))))</f>
        <v/>
      </c>
    </row>
    <row r="78" spans="2:5" ht="21" customHeight="1" x14ac:dyDescent="0.25">
      <c r="B78" s="43"/>
      <c r="C78" s="43"/>
      <c r="D78" s="43"/>
      <c r="E78" s="45" t="str">
        <f>IF(AND(B78="",C78="",D78=""),"",IF(B78="","⚠ Rubrique manquante",IF(ISNA(MATCH(B78,L_Rubriques,0)),"⚠ Rubrique inconnue",IF(D78="","⚠ Valeur manquante",IF(AND(COUNTIF(L_RubriquesPaires,B78)&gt;0,C78=""),"⚠ Libellé manquant",IF(AND(B78="Programme en une phrase",COUNTIF($B$9:B78,B78)&gt;1),"⚠ Une seule ligne",IF(AND(COUNTIF(L_RubriquesPaires,B78)=0,C78&lt;&gt;""),"◔ Libellé ignoré","✓")))))))</f>
        <v/>
      </c>
    </row>
    <row r="79" spans="2:5" ht="21" customHeight="1" x14ac:dyDescent="0.25">
      <c r="B79" s="43"/>
      <c r="C79" s="43"/>
      <c r="D79" s="43"/>
      <c r="E79" s="45" t="str">
        <f>IF(AND(B79="",C79="",D79=""),"",IF(B79="","⚠ Rubrique manquante",IF(ISNA(MATCH(B79,L_Rubriques,0)),"⚠ Rubrique inconnue",IF(D79="","⚠ Valeur manquante",IF(AND(COUNTIF(L_RubriquesPaires,B79)&gt;0,C79=""),"⚠ Libellé manquant",IF(AND(B79="Programme en une phrase",COUNTIF($B$9:B79,B79)&gt;1),"⚠ Une seule ligne",IF(AND(COUNTIF(L_RubriquesPaires,B79)=0,C79&lt;&gt;""),"◔ Libellé ignoré","✓")))))))</f>
        <v/>
      </c>
    </row>
    <row r="80" spans="2:5" ht="21" customHeight="1" x14ac:dyDescent="0.25">
      <c r="B80" s="43"/>
      <c r="C80" s="43"/>
      <c r="D80" s="43"/>
      <c r="E80" s="45" t="str">
        <f>IF(AND(B80="",C80="",D80=""),"",IF(B80="","⚠ Rubrique manquante",IF(ISNA(MATCH(B80,L_Rubriques,0)),"⚠ Rubrique inconnue",IF(D80="","⚠ Valeur manquante",IF(AND(COUNTIF(L_RubriquesPaires,B80)&gt;0,C80=""),"⚠ Libellé manquant",IF(AND(B80="Programme en une phrase",COUNTIF($B$9:B80,B80)&gt;1),"⚠ Une seule ligne",IF(AND(COUNTIF(L_RubriquesPaires,B80)=0,C80&lt;&gt;""),"◔ Libellé ignoré","✓")))))))</f>
        <v/>
      </c>
    </row>
    <row r="81" spans="2:5" ht="21" customHeight="1" x14ac:dyDescent="0.25">
      <c r="B81" s="43"/>
      <c r="C81" s="43"/>
      <c r="D81" s="43"/>
      <c r="E81" s="45" t="str">
        <f>IF(AND(B81="",C81="",D81=""),"",IF(B81="","⚠ Rubrique manquante",IF(ISNA(MATCH(B81,L_Rubriques,0)),"⚠ Rubrique inconnue",IF(D81="","⚠ Valeur manquante",IF(AND(COUNTIF(L_RubriquesPaires,B81)&gt;0,C81=""),"⚠ Libellé manquant",IF(AND(B81="Programme en une phrase",COUNTIF($B$9:B81,B81)&gt;1),"⚠ Une seule ligne",IF(AND(COUNTIF(L_RubriquesPaires,B81)=0,C81&lt;&gt;""),"◔ Libellé ignoré","✓")))))))</f>
        <v/>
      </c>
    </row>
    <row r="82" spans="2:5" ht="21" customHeight="1" x14ac:dyDescent="0.25">
      <c r="B82" s="43"/>
      <c r="C82" s="43"/>
      <c r="D82" s="43"/>
      <c r="E82" s="45" t="str">
        <f>IF(AND(B82="",C82="",D82=""),"",IF(B82="","⚠ Rubrique manquante",IF(ISNA(MATCH(B82,L_Rubriques,0)),"⚠ Rubrique inconnue",IF(D82="","⚠ Valeur manquante",IF(AND(COUNTIF(L_RubriquesPaires,B82)&gt;0,C82=""),"⚠ Libellé manquant",IF(AND(B82="Programme en une phrase",COUNTIF($B$9:B82,B82)&gt;1),"⚠ Une seule ligne",IF(AND(COUNTIF(L_RubriquesPaires,B82)=0,C82&lt;&gt;""),"◔ Libellé ignoré","✓")))))))</f>
        <v/>
      </c>
    </row>
    <row r="83" spans="2:5" ht="21" customHeight="1" x14ac:dyDescent="0.25">
      <c r="B83" s="43"/>
      <c r="C83" s="43"/>
      <c r="D83" s="43"/>
      <c r="E83" s="45" t="str">
        <f>IF(AND(B83="",C83="",D83=""),"",IF(B83="","⚠ Rubrique manquante",IF(ISNA(MATCH(B83,L_Rubriques,0)),"⚠ Rubrique inconnue",IF(D83="","⚠ Valeur manquante",IF(AND(COUNTIF(L_RubriquesPaires,B83)&gt;0,C83=""),"⚠ Libellé manquant",IF(AND(B83="Programme en une phrase",COUNTIF($B$9:B83,B83)&gt;1),"⚠ Une seule ligne",IF(AND(COUNTIF(L_RubriquesPaires,B83)=0,C83&lt;&gt;""),"◔ Libellé ignoré","✓")))))))</f>
        <v/>
      </c>
    </row>
    <row r="84" spans="2:5" ht="21" customHeight="1" x14ac:dyDescent="0.25">
      <c r="B84" s="43"/>
      <c r="C84" s="43"/>
      <c r="D84" s="43"/>
      <c r="E84" s="45" t="str">
        <f>IF(AND(B84="",C84="",D84=""),"",IF(B84="","⚠ Rubrique manquante",IF(ISNA(MATCH(B84,L_Rubriques,0)),"⚠ Rubrique inconnue",IF(D84="","⚠ Valeur manquante",IF(AND(COUNTIF(L_RubriquesPaires,B84)&gt;0,C84=""),"⚠ Libellé manquant",IF(AND(B84="Programme en une phrase",COUNTIF($B$9:B84,B84)&gt;1),"⚠ Une seule ligne",IF(AND(COUNTIF(L_RubriquesPaires,B84)=0,C84&lt;&gt;""),"◔ Libellé ignoré","✓")))))))</f>
        <v/>
      </c>
    </row>
    <row r="85" spans="2:5" ht="21" customHeight="1" x14ac:dyDescent="0.25">
      <c r="B85" s="43"/>
      <c r="C85" s="43"/>
      <c r="D85" s="43"/>
      <c r="E85" s="45" t="str">
        <f>IF(AND(B85="",C85="",D85=""),"",IF(B85="","⚠ Rubrique manquante",IF(ISNA(MATCH(B85,L_Rubriques,0)),"⚠ Rubrique inconnue",IF(D85="","⚠ Valeur manquante",IF(AND(COUNTIF(L_RubriquesPaires,B85)&gt;0,C85=""),"⚠ Libellé manquant",IF(AND(B85="Programme en une phrase",COUNTIF($B$9:B85,B85)&gt;1),"⚠ Une seule ligne",IF(AND(COUNTIF(L_RubriquesPaires,B85)=0,C85&lt;&gt;""),"◔ Libellé ignoré","✓")))))))</f>
        <v/>
      </c>
    </row>
    <row r="86" spans="2:5" ht="21" customHeight="1" x14ac:dyDescent="0.25">
      <c r="B86" s="43"/>
      <c r="C86" s="43"/>
      <c r="D86" s="43"/>
      <c r="E86" s="45" t="str">
        <f>IF(AND(B86="",C86="",D86=""),"",IF(B86="","⚠ Rubrique manquante",IF(ISNA(MATCH(B86,L_Rubriques,0)),"⚠ Rubrique inconnue",IF(D86="","⚠ Valeur manquante",IF(AND(COUNTIF(L_RubriquesPaires,B86)&gt;0,C86=""),"⚠ Libellé manquant",IF(AND(B86="Programme en une phrase",COUNTIF($B$9:B86,B86)&gt;1),"⚠ Une seule ligne",IF(AND(COUNTIF(L_RubriquesPaires,B86)=0,C86&lt;&gt;""),"◔ Libellé ignoré","✓")))))))</f>
        <v/>
      </c>
    </row>
    <row r="87" spans="2:5" ht="21" customHeight="1" x14ac:dyDescent="0.25">
      <c r="B87" s="43"/>
      <c r="C87" s="43"/>
      <c r="D87" s="43"/>
      <c r="E87" s="45" t="str">
        <f>IF(AND(B87="",C87="",D87=""),"",IF(B87="","⚠ Rubrique manquante",IF(ISNA(MATCH(B87,L_Rubriques,0)),"⚠ Rubrique inconnue",IF(D87="","⚠ Valeur manquante",IF(AND(COUNTIF(L_RubriquesPaires,B87)&gt;0,C87=""),"⚠ Libellé manquant",IF(AND(B87="Programme en une phrase",COUNTIF($B$9:B87,B87)&gt;1),"⚠ Une seule ligne",IF(AND(COUNTIF(L_RubriquesPaires,B87)=0,C87&lt;&gt;""),"◔ Libellé ignoré","✓")))))))</f>
        <v/>
      </c>
    </row>
    <row r="88" spans="2:5" ht="21" customHeight="1" x14ac:dyDescent="0.25">
      <c r="B88" s="43"/>
      <c r="C88" s="43"/>
      <c r="D88" s="43"/>
      <c r="E88" s="45" t="str">
        <f>IF(AND(B88="",C88="",D88=""),"",IF(B88="","⚠ Rubrique manquante",IF(ISNA(MATCH(B88,L_Rubriques,0)),"⚠ Rubrique inconnue",IF(D88="","⚠ Valeur manquante",IF(AND(COUNTIF(L_RubriquesPaires,B88)&gt;0,C88=""),"⚠ Libellé manquant",IF(AND(B88="Programme en une phrase",COUNTIF($B$9:B88,B88)&gt;1),"⚠ Une seule ligne",IF(AND(COUNTIF(L_RubriquesPaires,B88)=0,C88&lt;&gt;""),"◔ Libellé ignoré","✓")))))))</f>
        <v/>
      </c>
    </row>
    <row r="89" spans="2:5" ht="21" customHeight="1" x14ac:dyDescent="0.25">
      <c r="B89" s="43"/>
      <c r="C89" s="43"/>
      <c r="D89" s="43"/>
      <c r="E89" s="45" t="str">
        <f>IF(AND(B89="",C89="",D89=""),"",IF(B89="","⚠ Rubrique manquante",IF(ISNA(MATCH(B89,L_Rubriques,0)),"⚠ Rubrique inconnue",IF(D89="","⚠ Valeur manquante",IF(AND(COUNTIF(L_RubriquesPaires,B89)&gt;0,C89=""),"⚠ Libellé manquant",IF(AND(B89="Programme en une phrase",COUNTIF($B$9:B89,B89)&gt;1),"⚠ Une seule ligne",IF(AND(COUNTIF(L_RubriquesPaires,B89)=0,C89&lt;&gt;""),"◔ Libellé ignoré","✓")))))))</f>
        <v/>
      </c>
    </row>
    <row r="90" spans="2:5" ht="21" customHeight="1" x14ac:dyDescent="0.25">
      <c r="B90" s="43"/>
      <c r="C90" s="43"/>
      <c r="D90" s="43"/>
      <c r="E90" s="45" t="str">
        <f>IF(AND(B90="",C90="",D90=""),"",IF(B90="","⚠ Rubrique manquante",IF(ISNA(MATCH(B90,L_Rubriques,0)),"⚠ Rubrique inconnue",IF(D90="","⚠ Valeur manquante",IF(AND(COUNTIF(L_RubriquesPaires,B90)&gt;0,C90=""),"⚠ Libellé manquant",IF(AND(B90="Programme en une phrase",COUNTIF($B$9:B90,B90)&gt;1),"⚠ Une seule ligne",IF(AND(COUNTIF(L_RubriquesPaires,B90)=0,C90&lt;&gt;""),"◔ Libellé ignoré","✓")))))))</f>
        <v/>
      </c>
    </row>
    <row r="91" spans="2:5" ht="21" customHeight="1" x14ac:dyDescent="0.25">
      <c r="B91" s="43"/>
      <c r="C91" s="43"/>
      <c r="D91" s="43"/>
      <c r="E91" s="45" t="str">
        <f>IF(AND(B91="",C91="",D91=""),"",IF(B91="","⚠ Rubrique manquante",IF(ISNA(MATCH(B91,L_Rubriques,0)),"⚠ Rubrique inconnue",IF(D91="","⚠ Valeur manquante",IF(AND(COUNTIF(L_RubriquesPaires,B91)&gt;0,C91=""),"⚠ Libellé manquant",IF(AND(B91="Programme en une phrase",COUNTIF($B$9:B91,B91)&gt;1),"⚠ Une seule ligne",IF(AND(COUNTIF(L_RubriquesPaires,B91)=0,C91&lt;&gt;""),"◔ Libellé ignoré","✓")))))))</f>
        <v/>
      </c>
    </row>
    <row r="92" spans="2:5" ht="21" customHeight="1" x14ac:dyDescent="0.25">
      <c r="B92" s="43"/>
      <c r="C92" s="43"/>
      <c r="D92" s="43"/>
      <c r="E92" s="45" t="str">
        <f>IF(AND(B92="",C92="",D92=""),"",IF(B92="","⚠ Rubrique manquante",IF(ISNA(MATCH(B92,L_Rubriques,0)),"⚠ Rubrique inconnue",IF(D92="","⚠ Valeur manquante",IF(AND(COUNTIF(L_RubriquesPaires,B92)&gt;0,C92=""),"⚠ Libellé manquant",IF(AND(B92="Programme en une phrase",COUNTIF($B$9:B92,B92)&gt;1),"⚠ Une seule ligne",IF(AND(COUNTIF(L_RubriquesPaires,B92)=0,C92&lt;&gt;""),"◔ Libellé ignoré","✓")))))))</f>
        <v/>
      </c>
    </row>
    <row r="93" spans="2:5" ht="21" customHeight="1" x14ac:dyDescent="0.25">
      <c r="B93" s="43"/>
      <c r="C93" s="43"/>
      <c r="D93" s="43"/>
      <c r="E93" s="45" t="str">
        <f>IF(AND(B93="",C93="",D93=""),"",IF(B93="","⚠ Rubrique manquante",IF(ISNA(MATCH(B93,L_Rubriques,0)),"⚠ Rubrique inconnue",IF(D93="","⚠ Valeur manquante",IF(AND(COUNTIF(L_RubriquesPaires,B93)&gt;0,C93=""),"⚠ Libellé manquant",IF(AND(B93="Programme en une phrase",COUNTIF($B$9:B93,B93)&gt;1),"⚠ Une seule ligne",IF(AND(COUNTIF(L_RubriquesPaires,B93)=0,C93&lt;&gt;""),"◔ Libellé ignoré","✓")))))))</f>
        <v/>
      </c>
    </row>
    <row r="94" spans="2:5" ht="21" customHeight="1" x14ac:dyDescent="0.25">
      <c r="B94" s="43"/>
      <c r="C94" s="43"/>
      <c r="D94" s="43"/>
      <c r="E94" s="45" t="str">
        <f>IF(AND(B94="",C94="",D94=""),"",IF(B94="","⚠ Rubrique manquante",IF(ISNA(MATCH(B94,L_Rubriques,0)),"⚠ Rubrique inconnue",IF(D94="","⚠ Valeur manquante",IF(AND(COUNTIF(L_RubriquesPaires,B94)&gt;0,C94=""),"⚠ Libellé manquant",IF(AND(B94="Programme en une phrase",COUNTIF($B$9:B94,B94)&gt;1),"⚠ Une seule ligne",IF(AND(COUNTIF(L_RubriquesPaires,B94)=0,C94&lt;&gt;""),"◔ Libellé ignoré","✓")))))))</f>
        <v/>
      </c>
    </row>
    <row r="95" spans="2:5" ht="21" customHeight="1" x14ac:dyDescent="0.25">
      <c r="B95" s="43"/>
      <c r="C95" s="43"/>
      <c r="D95" s="43"/>
      <c r="E95" s="45" t="str">
        <f>IF(AND(B95="",C95="",D95=""),"",IF(B95="","⚠ Rubrique manquante",IF(ISNA(MATCH(B95,L_Rubriques,0)),"⚠ Rubrique inconnue",IF(D95="","⚠ Valeur manquante",IF(AND(COUNTIF(L_RubriquesPaires,B95)&gt;0,C95=""),"⚠ Libellé manquant",IF(AND(B95="Programme en une phrase",COUNTIF($B$9:B95,B95)&gt;1),"⚠ Une seule ligne",IF(AND(COUNTIF(L_RubriquesPaires,B95)=0,C95&lt;&gt;""),"◔ Libellé ignoré","✓")))))))</f>
        <v/>
      </c>
    </row>
    <row r="96" spans="2:5" ht="21" customHeight="1" x14ac:dyDescent="0.25">
      <c r="B96" s="43"/>
      <c r="C96" s="43"/>
      <c r="D96" s="43"/>
      <c r="E96" s="45" t="str">
        <f>IF(AND(B96="",C96="",D96=""),"",IF(B96="","⚠ Rubrique manquante",IF(ISNA(MATCH(B96,L_Rubriques,0)),"⚠ Rubrique inconnue",IF(D96="","⚠ Valeur manquante",IF(AND(COUNTIF(L_RubriquesPaires,B96)&gt;0,C96=""),"⚠ Libellé manquant",IF(AND(B96="Programme en une phrase",COUNTIF($B$9:B96,B96)&gt;1),"⚠ Une seule ligne",IF(AND(COUNTIF(L_RubriquesPaires,B96)=0,C96&lt;&gt;""),"◔ Libellé ignoré","✓")))))))</f>
        <v/>
      </c>
    </row>
    <row r="97" spans="2:5" ht="21" customHeight="1" x14ac:dyDescent="0.25">
      <c r="B97" s="43"/>
      <c r="C97" s="43"/>
      <c r="D97" s="43"/>
      <c r="E97" s="45" t="str">
        <f>IF(AND(B97="",C97="",D97=""),"",IF(B97="","⚠ Rubrique manquante",IF(ISNA(MATCH(B97,L_Rubriques,0)),"⚠ Rubrique inconnue",IF(D97="","⚠ Valeur manquante",IF(AND(COUNTIF(L_RubriquesPaires,B97)&gt;0,C97=""),"⚠ Libellé manquant",IF(AND(B97="Programme en une phrase",COUNTIF($B$9:B97,B97)&gt;1),"⚠ Une seule ligne",IF(AND(COUNTIF(L_RubriquesPaires,B97)=0,C97&lt;&gt;""),"◔ Libellé ignoré","✓")))))))</f>
        <v/>
      </c>
    </row>
    <row r="98" spans="2:5" ht="21" customHeight="1" x14ac:dyDescent="0.25">
      <c r="B98" s="43"/>
      <c r="C98" s="43"/>
      <c r="D98" s="43"/>
      <c r="E98" s="45" t="str">
        <f>IF(AND(B98="",C98="",D98=""),"",IF(B98="","⚠ Rubrique manquante",IF(ISNA(MATCH(B98,L_Rubriques,0)),"⚠ Rubrique inconnue",IF(D98="","⚠ Valeur manquante",IF(AND(COUNTIF(L_RubriquesPaires,B98)&gt;0,C98=""),"⚠ Libellé manquant",IF(AND(B98="Programme en une phrase",COUNTIF($B$9:B98,B98)&gt;1),"⚠ Une seule ligne",IF(AND(COUNTIF(L_RubriquesPaires,B98)=0,C98&lt;&gt;""),"◔ Libellé ignoré","✓")))))))</f>
        <v/>
      </c>
    </row>
    <row r="99" spans="2:5" ht="21" customHeight="1" x14ac:dyDescent="0.25">
      <c r="B99" s="43"/>
      <c r="C99" s="43"/>
      <c r="D99" s="43"/>
      <c r="E99" s="45" t="str">
        <f>IF(AND(B99="",C99="",D99=""),"",IF(B99="","⚠ Rubrique manquante",IF(ISNA(MATCH(B99,L_Rubriques,0)),"⚠ Rubrique inconnue",IF(D99="","⚠ Valeur manquante",IF(AND(COUNTIF(L_RubriquesPaires,B99)&gt;0,C99=""),"⚠ Libellé manquant",IF(AND(B99="Programme en une phrase",COUNTIF($B$9:B99,B99)&gt;1),"⚠ Une seule ligne",IF(AND(COUNTIF(L_RubriquesPaires,B99)=0,C99&lt;&gt;""),"◔ Libellé ignoré","✓")))))))</f>
        <v/>
      </c>
    </row>
    <row r="100" spans="2:5" ht="21" customHeight="1" x14ac:dyDescent="0.25">
      <c r="B100" s="43"/>
      <c r="C100" s="43"/>
      <c r="D100" s="43"/>
      <c r="E100" s="45" t="str">
        <f>IF(AND(B100="",C100="",D100=""),"",IF(B100="","⚠ Rubrique manquante",IF(ISNA(MATCH(B100,L_Rubriques,0)),"⚠ Rubrique inconnue",IF(D100="","⚠ Valeur manquante",IF(AND(COUNTIF(L_RubriquesPaires,B100)&gt;0,C100=""),"⚠ Libellé manquant",IF(AND(B100="Programme en une phrase",COUNTIF($B$9:B100,B100)&gt;1),"⚠ Une seule ligne",IF(AND(COUNTIF(L_RubriquesPaires,B100)=0,C100&lt;&gt;""),"◔ Libellé ignoré","✓")))))))</f>
        <v/>
      </c>
    </row>
    <row r="101" spans="2:5" ht="21" customHeight="1" x14ac:dyDescent="0.25">
      <c r="B101" s="43"/>
      <c r="C101" s="43"/>
      <c r="D101" s="43"/>
      <c r="E101" s="45" t="str">
        <f>IF(AND(B101="",C101="",D101=""),"",IF(B101="","⚠ Rubrique manquante",IF(ISNA(MATCH(B101,L_Rubriques,0)),"⚠ Rubrique inconnue",IF(D101="","⚠ Valeur manquante",IF(AND(COUNTIF(L_RubriquesPaires,B101)&gt;0,C101=""),"⚠ Libellé manquant",IF(AND(B101="Programme en une phrase",COUNTIF($B$9:B101,B101)&gt;1),"⚠ Une seule ligne",IF(AND(COUNTIF(L_RubriquesPaires,B101)=0,C101&lt;&gt;""),"◔ Libellé ignoré","✓")))))))</f>
        <v/>
      </c>
    </row>
    <row r="102" spans="2:5" ht="21" customHeight="1" x14ac:dyDescent="0.25">
      <c r="B102" s="43"/>
      <c r="C102" s="43"/>
      <c r="D102" s="43"/>
      <c r="E102" s="45" t="str">
        <f>IF(AND(B102="",C102="",D102=""),"",IF(B102="","⚠ Rubrique manquante",IF(ISNA(MATCH(B102,L_Rubriques,0)),"⚠ Rubrique inconnue",IF(D102="","⚠ Valeur manquante",IF(AND(COUNTIF(L_RubriquesPaires,B102)&gt;0,C102=""),"⚠ Libellé manquant",IF(AND(B102="Programme en une phrase",COUNTIF($B$9:B102,B102)&gt;1),"⚠ Une seule ligne",IF(AND(COUNTIF(L_RubriquesPaires,B102)=0,C102&lt;&gt;""),"◔ Libellé ignoré","✓")))))))</f>
        <v/>
      </c>
    </row>
    <row r="103" spans="2:5" ht="21" customHeight="1" x14ac:dyDescent="0.25">
      <c r="B103" s="43"/>
      <c r="C103" s="43"/>
      <c r="D103" s="43"/>
      <c r="E103" s="45" t="str">
        <f>IF(AND(B103="",C103="",D103=""),"",IF(B103="","⚠ Rubrique manquante",IF(ISNA(MATCH(B103,L_Rubriques,0)),"⚠ Rubrique inconnue",IF(D103="","⚠ Valeur manquante",IF(AND(COUNTIF(L_RubriquesPaires,B103)&gt;0,C103=""),"⚠ Libellé manquant",IF(AND(B103="Programme en une phrase",COUNTIF($B$9:B103,B103)&gt;1),"⚠ Une seule ligne",IF(AND(COUNTIF(L_RubriquesPaires,B103)=0,C103&lt;&gt;""),"◔ Libellé ignoré","✓")))))))</f>
        <v/>
      </c>
    </row>
    <row r="104" spans="2:5" ht="21" customHeight="1" x14ac:dyDescent="0.25">
      <c r="B104" s="43"/>
      <c r="C104" s="43"/>
      <c r="D104" s="43"/>
      <c r="E104" s="45" t="str">
        <f>IF(AND(B104="",C104="",D104=""),"",IF(B104="","⚠ Rubrique manquante",IF(ISNA(MATCH(B104,L_Rubriques,0)),"⚠ Rubrique inconnue",IF(D104="","⚠ Valeur manquante",IF(AND(COUNTIF(L_RubriquesPaires,B104)&gt;0,C104=""),"⚠ Libellé manquant",IF(AND(B104="Programme en une phrase",COUNTIF($B$9:B104,B104)&gt;1),"⚠ Une seule ligne",IF(AND(COUNTIF(L_RubriquesPaires,B104)=0,C104&lt;&gt;""),"◔ Libellé ignoré","✓")))))))</f>
        <v/>
      </c>
    </row>
    <row r="105" spans="2:5" ht="21" customHeight="1" x14ac:dyDescent="0.25">
      <c r="B105" s="43"/>
      <c r="C105" s="43"/>
      <c r="D105" s="43"/>
      <c r="E105" s="45" t="str">
        <f>IF(AND(B105="",C105="",D105=""),"",IF(B105="","⚠ Rubrique manquante",IF(ISNA(MATCH(B105,L_Rubriques,0)),"⚠ Rubrique inconnue",IF(D105="","⚠ Valeur manquante",IF(AND(COUNTIF(L_RubriquesPaires,B105)&gt;0,C105=""),"⚠ Libellé manquant",IF(AND(B105="Programme en une phrase",COUNTIF($B$9:B105,B105)&gt;1),"⚠ Une seule ligne",IF(AND(COUNTIF(L_RubriquesPaires,B105)=0,C105&lt;&gt;""),"◔ Libellé ignoré","✓")))))))</f>
        <v/>
      </c>
    </row>
    <row r="106" spans="2:5" ht="21" customHeight="1" x14ac:dyDescent="0.25">
      <c r="B106" s="43"/>
      <c r="C106" s="43"/>
      <c r="D106" s="43"/>
      <c r="E106" s="45" t="str">
        <f>IF(AND(B106="",C106="",D106=""),"",IF(B106="","⚠ Rubrique manquante",IF(ISNA(MATCH(B106,L_Rubriques,0)),"⚠ Rubrique inconnue",IF(D106="","⚠ Valeur manquante",IF(AND(COUNTIF(L_RubriquesPaires,B106)&gt;0,C106=""),"⚠ Libellé manquant",IF(AND(B106="Programme en une phrase",COUNTIF($B$9:B106,B106)&gt;1),"⚠ Une seule ligne",IF(AND(COUNTIF(L_RubriquesPaires,B106)=0,C106&lt;&gt;""),"◔ Libellé ignoré","✓")))))))</f>
        <v/>
      </c>
    </row>
    <row r="107" spans="2:5" ht="21" customHeight="1" x14ac:dyDescent="0.25">
      <c r="B107" s="43"/>
      <c r="C107" s="43"/>
      <c r="D107" s="43"/>
      <c r="E107" s="45" t="str">
        <f>IF(AND(B107="",C107="",D107=""),"",IF(B107="","⚠ Rubrique manquante",IF(ISNA(MATCH(B107,L_Rubriques,0)),"⚠ Rubrique inconnue",IF(D107="","⚠ Valeur manquante",IF(AND(COUNTIF(L_RubriquesPaires,B107)&gt;0,C107=""),"⚠ Libellé manquant",IF(AND(B107="Programme en une phrase",COUNTIF($B$9:B107,B107)&gt;1),"⚠ Une seule ligne",IF(AND(COUNTIF(L_RubriquesPaires,B107)=0,C107&lt;&gt;""),"◔ Libellé ignoré","✓")))))))</f>
        <v/>
      </c>
    </row>
    <row r="108" spans="2:5" ht="21" customHeight="1" x14ac:dyDescent="0.25">
      <c r="B108" s="43"/>
      <c r="C108" s="43"/>
      <c r="D108" s="43"/>
      <c r="E108" s="45" t="str">
        <f>IF(AND(B108="",C108="",D108=""),"",IF(B108="","⚠ Rubrique manquante",IF(ISNA(MATCH(B108,L_Rubriques,0)),"⚠ Rubrique inconnue",IF(D108="","⚠ Valeur manquante",IF(AND(COUNTIF(L_RubriquesPaires,B108)&gt;0,C108=""),"⚠ Libellé manquant",IF(AND(B108="Programme en une phrase",COUNTIF($B$9:B108,B108)&gt;1),"⚠ Une seule ligne",IF(AND(COUNTIF(L_RubriquesPaires,B108)=0,C108&lt;&gt;""),"◔ Libellé ignoré","✓")))))))</f>
        <v/>
      </c>
    </row>
    <row r="109" spans="2:5" ht="21" customHeight="1" x14ac:dyDescent="0.25">
      <c r="B109" s="43"/>
      <c r="C109" s="43"/>
      <c r="D109" s="43"/>
      <c r="E109" s="45" t="str">
        <f>IF(AND(B109="",C109="",D109=""),"",IF(B109="","⚠ Rubrique manquante",IF(ISNA(MATCH(B109,L_Rubriques,0)),"⚠ Rubrique inconnue",IF(D109="","⚠ Valeur manquante",IF(AND(COUNTIF(L_RubriquesPaires,B109)&gt;0,C109=""),"⚠ Libellé manquant",IF(AND(B109="Programme en une phrase",COUNTIF($B$9:B109,B109)&gt;1),"⚠ Une seule ligne",IF(AND(COUNTIF(L_RubriquesPaires,B109)=0,C109&lt;&gt;""),"◔ Libellé ignoré","✓")))))))</f>
        <v/>
      </c>
    </row>
    <row r="110" spans="2:5" ht="21" customHeight="1" x14ac:dyDescent="0.25">
      <c r="B110" s="43"/>
      <c r="C110" s="43"/>
      <c r="D110" s="43"/>
      <c r="E110" s="45" t="str">
        <f>IF(AND(B110="",C110="",D110=""),"",IF(B110="","⚠ Rubrique manquante",IF(ISNA(MATCH(B110,L_Rubriques,0)),"⚠ Rubrique inconnue",IF(D110="","⚠ Valeur manquante",IF(AND(COUNTIF(L_RubriquesPaires,B110)&gt;0,C110=""),"⚠ Libellé manquant",IF(AND(B110="Programme en une phrase",COUNTIF($B$9:B110,B110)&gt;1),"⚠ Une seule ligne",IF(AND(COUNTIF(L_RubriquesPaires,B110)=0,C110&lt;&gt;""),"◔ Libellé ignoré","✓")))))))</f>
        <v/>
      </c>
    </row>
    <row r="111" spans="2:5" ht="21" customHeight="1" x14ac:dyDescent="0.25">
      <c r="B111" s="43"/>
      <c r="C111" s="43"/>
      <c r="D111" s="43"/>
      <c r="E111" s="45" t="str">
        <f>IF(AND(B111="",C111="",D111=""),"",IF(B111="","⚠ Rubrique manquante",IF(ISNA(MATCH(B111,L_Rubriques,0)),"⚠ Rubrique inconnue",IF(D111="","⚠ Valeur manquante",IF(AND(COUNTIF(L_RubriquesPaires,B111)&gt;0,C111=""),"⚠ Libellé manquant",IF(AND(B111="Programme en une phrase",COUNTIF($B$9:B111,B111)&gt;1),"⚠ Une seule ligne",IF(AND(COUNTIF(L_RubriquesPaires,B111)=0,C111&lt;&gt;""),"◔ Libellé ignoré","✓")))))))</f>
        <v/>
      </c>
    </row>
    <row r="112" spans="2:5" ht="21" customHeight="1" x14ac:dyDescent="0.25">
      <c r="B112" s="43"/>
      <c r="C112" s="43"/>
      <c r="D112" s="43"/>
      <c r="E112" s="45" t="str">
        <f>IF(AND(B112="",C112="",D112=""),"",IF(B112="","⚠ Rubrique manquante",IF(ISNA(MATCH(B112,L_Rubriques,0)),"⚠ Rubrique inconnue",IF(D112="","⚠ Valeur manquante",IF(AND(COUNTIF(L_RubriquesPaires,B112)&gt;0,C112=""),"⚠ Libellé manquant",IF(AND(B112="Programme en une phrase",COUNTIF($B$9:B112,B112)&gt;1),"⚠ Une seule ligne",IF(AND(COUNTIF(L_RubriquesPaires,B112)=0,C112&lt;&gt;""),"◔ Libellé ignoré","✓")))))))</f>
        <v/>
      </c>
    </row>
    <row r="113" spans="2:5" ht="21" customHeight="1" x14ac:dyDescent="0.25">
      <c r="B113" s="43"/>
      <c r="C113" s="43"/>
      <c r="D113" s="43"/>
      <c r="E113" s="45" t="str">
        <f>IF(AND(B113="",C113="",D113=""),"",IF(B113="","⚠ Rubrique manquante",IF(ISNA(MATCH(B113,L_Rubriques,0)),"⚠ Rubrique inconnue",IF(D113="","⚠ Valeur manquante",IF(AND(COUNTIF(L_RubriquesPaires,B113)&gt;0,C113=""),"⚠ Libellé manquant",IF(AND(B113="Programme en une phrase",COUNTIF($B$9:B113,B113)&gt;1),"⚠ Une seule ligne",IF(AND(COUNTIF(L_RubriquesPaires,B113)=0,C113&lt;&gt;""),"◔ Libellé ignoré","✓")))))))</f>
        <v/>
      </c>
    </row>
    <row r="114" spans="2:5" ht="21" customHeight="1" x14ac:dyDescent="0.25">
      <c r="B114" s="43"/>
      <c r="C114" s="43"/>
      <c r="D114" s="43"/>
      <c r="E114" s="45" t="str">
        <f>IF(AND(B114="",C114="",D114=""),"",IF(B114="","⚠ Rubrique manquante",IF(ISNA(MATCH(B114,L_Rubriques,0)),"⚠ Rubrique inconnue",IF(D114="","⚠ Valeur manquante",IF(AND(COUNTIF(L_RubriquesPaires,B114)&gt;0,C114=""),"⚠ Libellé manquant",IF(AND(B114="Programme en une phrase",COUNTIF($B$9:B114,B114)&gt;1),"⚠ Une seule ligne",IF(AND(COUNTIF(L_RubriquesPaires,B114)=0,C114&lt;&gt;""),"◔ Libellé ignoré","✓")))))))</f>
        <v/>
      </c>
    </row>
    <row r="115" spans="2:5" ht="21" customHeight="1" x14ac:dyDescent="0.25">
      <c r="B115" s="43"/>
      <c r="C115" s="43"/>
      <c r="D115" s="43"/>
      <c r="E115" s="45" t="str">
        <f>IF(AND(B115="",C115="",D115=""),"",IF(B115="","⚠ Rubrique manquante",IF(ISNA(MATCH(B115,L_Rubriques,0)),"⚠ Rubrique inconnue",IF(D115="","⚠ Valeur manquante",IF(AND(COUNTIF(L_RubriquesPaires,B115)&gt;0,C115=""),"⚠ Libellé manquant",IF(AND(B115="Programme en une phrase",COUNTIF($B$9:B115,B115)&gt;1),"⚠ Une seule ligne",IF(AND(COUNTIF(L_RubriquesPaires,B115)=0,C115&lt;&gt;""),"◔ Libellé ignoré","✓")))))))</f>
        <v/>
      </c>
    </row>
    <row r="116" spans="2:5" ht="21" customHeight="1" x14ac:dyDescent="0.25">
      <c r="B116" s="43"/>
      <c r="C116" s="43"/>
      <c r="D116" s="43"/>
      <c r="E116" s="45" t="str">
        <f>IF(AND(B116="",C116="",D116=""),"",IF(B116="","⚠ Rubrique manquante",IF(ISNA(MATCH(B116,L_Rubriques,0)),"⚠ Rubrique inconnue",IF(D116="","⚠ Valeur manquante",IF(AND(COUNTIF(L_RubriquesPaires,B116)&gt;0,C116=""),"⚠ Libellé manquant",IF(AND(B116="Programme en une phrase",COUNTIF($B$9:B116,B116)&gt;1),"⚠ Une seule ligne",IF(AND(COUNTIF(L_RubriquesPaires,B116)=0,C116&lt;&gt;""),"◔ Libellé ignoré","✓")))))))</f>
        <v/>
      </c>
    </row>
    <row r="117" spans="2:5" ht="21" customHeight="1" x14ac:dyDescent="0.25">
      <c r="B117" s="43"/>
      <c r="C117" s="43"/>
      <c r="D117" s="43"/>
      <c r="E117" s="45" t="str">
        <f>IF(AND(B117="",C117="",D117=""),"",IF(B117="","⚠ Rubrique manquante",IF(ISNA(MATCH(B117,L_Rubriques,0)),"⚠ Rubrique inconnue",IF(D117="","⚠ Valeur manquante",IF(AND(COUNTIF(L_RubriquesPaires,B117)&gt;0,C117=""),"⚠ Libellé manquant",IF(AND(B117="Programme en une phrase",COUNTIF($B$9:B117,B117)&gt;1),"⚠ Une seule ligne",IF(AND(COUNTIF(L_RubriquesPaires,B117)=0,C117&lt;&gt;""),"◔ Libellé ignoré","✓")))))))</f>
        <v/>
      </c>
    </row>
    <row r="118" spans="2:5" ht="21" customHeight="1" x14ac:dyDescent="0.25">
      <c r="B118" s="43"/>
      <c r="C118" s="43"/>
      <c r="D118" s="43"/>
      <c r="E118" s="45" t="str">
        <f>IF(AND(B118="",C118="",D118=""),"",IF(B118="","⚠ Rubrique manquante",IF(ISNA(MATCH(B118,L_Rubriques,0)),"⚠ Rubrique inconnue",IF(D118="","⚠ Valeur manquante",IF(AND(COUNTIF(L_RubriquesPaires,B118)&gt;0,C118=""),"⚠ Libellé manquant",IF(AND(B118="Programme en une phrase",COUNTIF($B$9:B118,B118)&gt;1),"⚠ Une seule ligne",IF(AND(COUNTIF(L_RubriquesPaires,B118)=0,C118&lt;&gt;""),"◔ Libellé ignoré","✓")))))))</f>
        <v/>
      </c>
    </row>
    <row r="119" spans="2:5" ht="21" customHeight="1" x14ac:dyDescent="0.25">
      <c r="B119" s="43"/>
      <c r="C119" s="43"/>
      <c r="D119" s="43"/>
      <c r="E119" s="45" t="str">
        <f>IF(AND(B119="",C119="",D119=""),"",IF(B119="","⚠ Rubrique manquante",IF(ISNA(MATCH(B119,L_Rubriques,0)),"⚠ Rubrique inconnue",IF(D119="","⚠ Valeur manquante",IF(AND(COUNTIF(L_RubriquesPaires,B119)&gt;0,C119=""),"⚠ Libellé manquant",IF(AND(B119="Programme en une phrase",COUNTIF($B$9:B119,B119)&gt;1),"⚠ Une seule ligne",IF(AND(COUNTIF(L_RubriquesPaires,B119)=0,C119&lt;&gt;""),"◔ Libellé ignoré","✓")))))))</f>
        <v/>
      </c>
    </row>
    <row r="120" spans="2:5" ht="21" customHeight="1" x14ac:dyDescent="0.25">
      <c r="B120" s="43"/>
      <c r="C120" s="43"/>
      <c r="D120" s="43"/>
      <c r="E120" s="45" t="str">
        <f>IF(AND(B120="",C120="",D120=""),"",IF(B120="","⚠ Rubrique manquante",IF(ISNA(MATCH(B120,L_Rubriques,0)),"⚠ Rubrique inconnue",IF(D120="","⚠ Valeur manquante",IF(AND(COUNTIF(L_RubriquesPaires,B120)&gt;0,C120=""),"⚠ Libellé manquant",IF(AND(B120="Programme en une phrase",COUNTIF($B$9:B120,B120)&gt;1),"⚠ Une seule ligne",IF(AND(COUNTIF(L_RubriquesPaires,B120)=0,C120&lt;&gt;""),"◔ Libellé ignoré","✓")))))))</f>
        <v/>
      </c>
    </row>
    <row r="121" spans="2:5" ht="21" customHeight="1" x14ac:dyDescent="0.25">
      <c r="B121" s="43"/>
      <c r="C121" s="43"/>
      <c r="D121" s="43"/>
      <c r="E121" s="45" t="str">
        <f>IF(AND(B121="",C121="",D121=""),"",IF(B121="","⚠ Rubrique manquante",IF(ISNA(MATCH(B121,L_Rubriques,0)),"⚠ Rubrique inconnue",IF(D121="","⚠ Valeur manquante",IF(AND(COUNTIF(L_RubriquesPaires,B121)&gt;0,C121=""),"⚠ Libellé manquant",IF(AND(B121="Programme en une phrase",COUNTIF($B$9:B121,B121)&gt;1),"⚠ Une seule ligne",IF(AND(COUNTIF(L_RubriquesPaires,B121)=0,C121&lt;&gt;""),"◔ Libellé ignoré","✓")))))))</f>
        <v/>
      </c>
    </row>
    <row r="122" spans="2:5" ht="21" customHeight="1" x14ac:dyDescent="0.25">
      <c r="B122" s="43"/>
      <c r="C122" s="43"/>
      <c r="D122" s="43"/>
      <c r="E122" s="45" t="str">
        <f>IF(AND(B122="",C122="",D122=""),"",IF(B122="","⚠ Rubrique manquante",IF(ISNA(MATCH(B122,L_Rubriques,0)),"⚠ Rubrique inconnue",IF(D122="","⚠ Valeur manquante",IF(AND(COUNTIF(L_RubriquesPaires,B122)&gt;0,C122=""),"⚠ Libellé manquant",IF(AND(B122="Programme en une phrase",COUNTIF($B$9:B122,B122)&gt;1),"⚠ Une seule ligne",IF(AND(COUNTIF(L_RubriquesPaires,B122)=0,C122&lt;&gt;""),"◔ Libellé ignoré","✓")))))))</f>
        <v/>
      </c>
    </row>
    <row r="123" spans="2:5" ht="21" customHeight="1" x14ac:dyDescent="0.25">
      <c r="B123" s="43"/>
      <c r="C123" s="43"/>
      <c r="D123" s="43"/>
      <c r="E123" s="45" t="str">
        <f>IF(AND(B123="",C123="",D123=""),"",IF(B123="","⚠ Rubrique manquante",IF(ISNA(MATCH(B123,L_Rubriques,0)),"⚠ Rubrique inconnue",IF(D123="","⚠ Valeur manquante",IF(AND(COUNTIF(L_RubriquesPaires,B123)&gt;0,C123=""),"⚠ Libellé manquant",IF(AND(B123="Programme en une phrase",COUNTIF($B$9:B123,B123)&gt;1),"⚠ Une seule ligne",IF(AND(COUNTIF(L_RubriquesPaires,B123)=0,C123&lt;&gt;""),"◔ Libellé ignoré","✓")))))))</f>
        <v/>
      </c>
    </row>
    <row r="124" spans="2:5" ht="21" customHeight="1" x14ac:dyDescent="0.25">
      <c r="B124" s="43"/>
      <c r="C124" s="43"/>
      <c r="D124" s="43"/>
      <c r="E124" s="45" t="str">
        <f>IF(AND(B124="",C124="",D124=""),"",IF(B124="","⚠ Rubrique manquante",IF(ISNA(MATCH(B124,L_Rubriques,0)),"⚠ Rubrique inconnue",IF(D124="","⚠ Valeur manquante",IF(AND(COUNTIF(L_RubriquesPaires,B124)&gt;0,C124=""),"⚠ Libellé manquant",IF(AND(B124="Programme en une phrase",COUNTIF($B$9:B124,B124)&gt;1),"⚠ Une seule ligne",IF(AND(COUNTIF(L_RubriquesPaires,B124)=0,C124&lt;&gt;""),"◔ Libellé ignoré","✓")))))))</f>
        <v/>
      </c>
    </row>
    <row r="125" spans="2:5" ht="21" customHeight="1" x14ac:dyDescent="0.25">
      <c r="B125" s="43"/>
      <c r="C125" s="43"/>
      <c r="D125" s="43"/>
      <c r="E125" s="45" t="str">
        <f>IF(AND(B125="",C125="",D125=""),"",IF(B125="","⚠ Rubrique manquante",IF(ISNA(MATCH(B125,L_Rubriques,0)),"⚠ Rubrique inconnue",IF(D125="","⚠ Valeur manquante",IF(AND(COUNTIF(L_RubriquesPaires,B125)&gt;0,C125=""),"⚠ Libellé manquant",IF(AND(B125="Programme en une phrase",COUNTIF($B$9:B125,B125)&gt;1),"⚠ Une seule ligne",IF(AND(COUNTIF(L_RubriquesPaires,B125)=0,C125&lt;&gt;""),"◔ Libellé ignoré","✓")))))))</f>
        <v/>
      </c>
    </row>
    <row r="126" spans="2:5" ht="21" customHeight="1" x14ac:dyDescent="0.25">
      <c r="B126" s="43"/>
      <c r="C126" s="43"/>
      <c r="D126" s="43"/>
      <c r="E126" s="45" t="str">
        <f>IF(AND(B126="",C126="",D126=""),"",IF(B126="","⚠ Rubrique manquante",IF(ISNA(MATCH(B126,L_Rubriques,0)),"⚠ Rubrique inconnue",IF(D126="","⚠ Valeur manquante",IF(AND(COUNTIF(L_RubriquesPaires,B126)&gt;0,C126=""),"⚠ Libellé manquant",IF(AND(B126="Programme en une phrase",COUNTIF($B$9:B126,B126)&gt;1),"⚠ Une seule ligne",IF(AND(COUNTIF(L_RubriquesPaires,B126)=0,C126&lt;&gt;""),"◔ Libellé ignoré","✓")))))))</f>
        <v/>
      </c>
    </row>
    <row r="127" spans="2:5" ht="21" customHeight="1" x14ac:dyDescent="0.25">
      <c r="B127" s="43"/>
      <c r="C127" s="43"/>
      <c r="D127" s="43"/>
      <c r="E127" s="45" t="str">
        <f>IF(AND(B127="",C127="",D127=""),"",IF(B127="","⚠ Rubrique manquante",IF(ISNA(MATCH(B127,L_Rubriques,0)),"⚠ Rubrique inconnue",IF(D127="","⚠ Valeur manquante",IF(AND(COUNTIF(L_RubriquesPaires,B127)&gt;0,C127=""),"⚠ Libellé manquant",IF(AND(B127="Programme en une phrase",COUNTIF($B$9:B127,B127)&gt;1),"⚠ Une seule ligne",IF(AND(COUNTIF(L_RubriquesPaires,B127)=0,C127&lt;&gt;""),"◔ Libellé ignoré","✓")))))))</f>
        <v/>
      </c>
    </row>
    <row r="128" spans="2:5" ht="21" customHeight="1" x14ac:dyDescent="0.25">
      <c r="B128" s="43"/>
      <c r="C128" s="43"/>
      <c r="D128" s="43"/>
      <c r="E128" s="45" t="str">
        <f>IF(AND(B128="",C128="",D128=""),"",IF(B128="","⚠ Rubrique manquante",IF(ISNA(MATCH(B128,L_Rubriques,0)),"⚠ Rubrique inconnue",IF(D128="","⚠ Valeur manquante",IF(AND(COUNTIF(L_RubriquesPaires,B128)&gt;0,C128=""),"⚠ Libellé manquant",IF(AND(B128="Programme en une phrase",COUNTIF($B$9:B128,B128)&gt;1),"⚠ Une seule ligne",IF(AND(COUNTIF(L_RubriquesPaires,B128)=0,C128&lt;&gt;""),"◔ Libellé ignoré","✓")))))))</f>
        <v/>
      </c>
    </row>
  </sheetData>
  <sheetProtection sheet="1" formatColumns="0" formatRows="0" sort="0" autoFilter="0"/>
  <conditionalFormatting sqref="B9:B128">
    <cfRule type="expression" dxfId="41" priority="1">
      <formula>AND(OR($B9&lt;&gt;"",$C9&lt;&gt;"",$D9&lt;&gt;""),B9="")</formula>
    </cfRule>
  </conditionalFormatting>
  <conditionalFormatting sqref="C9:C128">
    <cfRule type="expression" dxfId="40" priority="3">
      <formula>AND($B9&lt;&gt;"",COUNTIF(L_RubriquesPaires,$B9)&gt;0,C9="")</formula>
    </cfRule>
  </conditionalFormatting>
  <conditionalFormatting sqref="D9:D128">
    <cfRule type="expression" dxfId="39" priority="2">
      <formula>AND(OR($B9&lt;&gt;"",$C9&lt;&gt;"",$D9&lt;&gt;""),D9="")</formula>
    </cfRule>
  </conditionalFormatting>
  <dataValidations count="2">
    <dataValidation type="list" allowBlank="1" showInputMessage="1" showErrorMessage="1" errorTitle="Valeur hors liste" error="Choisissez une valeur dans la liste. Elle se remplit à partir de l’onglet correspondant." promptTitle="Rubrique" prompt="Choisissez une rubrique de Info projet (voir l’onglet Références)." sqref="B9:B128" xr:uid="{00000000-0002-0000-0800-000000000000}">
      <formula1>L_Rubriques</formula1>
    </dataValidation>
    <dataValidation allowBlank="1" showInputMessage="1" promptTitle="Libellé" prompt="Obligatoire pour Le client, Périmètre fonctionnel et Périmètre applicatif ; vide pour les autres rubriques." sqref="C9:C128" xr:uid="{00000000-0002-0000-0800-000001000000}"/>
  </dataValidations>
  <hyperlinks>
    <hyperlink ref="E3" location="'Complétude'!A1" display="↩  Complétude" xr:uid="{00000000-0004-0000-08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000000-000E-0000-0800-000004000000}">
            <xm:f>NOT(ISERROR(SEARCH("⚠",E9)))</xm:f>
            <x14:dxf>
              <font>
                <b/>
                <color rgb="FFC2473B"/>
              </font>
            </x14:dxf>
          </x14:cfRule>
          <x14:cfRule type="containsText" priority="4" operator="containsText" id="{00000000-000E-0000-0800-000004000000}">
            <xm:f>NOT(ISERROR(SEARCH("◔",E9)))</xm:f>
            <x14:dxf>
              <font>
                <b/>
                <color rgb="FFB26A12"/>
              </font>
            </x14:dxf>
          </x14:cfRule>
          <xm:sqref>E9:E128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D8F86"/>
    <pageSetUpPr fitToPage="1"/>
  </sheetPr>
  <dimension ref="B1:I3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10" customWidth="1"/>
    <col min="3" max="3" width="7" customWidth="1"/>
    <col min="4" max="4" width="44" customWidth="1"/>
    <col min="5" max="6" width="13" customWidth="1"/>
    <col min="7" max="7" width="14" customWidth="1"/>
    <col min="8" max="9" width="24" customWidth="1"/>
  </cols>
  <sheetData>
    <row r="1" spans="2:9" ht="12" customHeight="1" x14ac:dyDescent="0.25"/>
    <row r="2" spans="2:9" ht="33.950000000000003" customHeight="1" x14ac:dyDescent="0.45">
      <c r="B2" s="1" t="s">
        <v>44</v>
      </c>
      <c r="I2" s="35">
        <f>Complétude!$I25</f>
        <v>0</v>
      </c>
    </row>
    <row r="3" spans="2:9" ht="18" customHeight="1" x14ac:dyDescent="0.25">
      <c r="B3" s="2" t="s">
        <v>251</v>
      </c>
      <c r="I3" s="36" t="s">
        <v>195</v>
      </c>
    </row>
    <row r="4" spans="2:9" ht="18" customHeight="1" x14ac:dyDescent="0.25">
      <c r="B4" t="s">
        <v>252</v>
      </c>
    </row>
    <row r="5" spans="2:9" ht="15.95" customHeight="1" x14ac:dyDescent="0.25">
      <c r="B5" s="37" t="s">
        <v>253</v>
      </c>
    </row>
    <row r="6" spans="2:9" ht="9.9499999999999993" customHeight="1" x14ac:dyDescent="0.25"/>
    <row r="7" spans="2:9" ht="15" customHeight="1" x14ac:dyDescent="0.25">
      <c r="B7" s="40" t="s">
        <v>200</v>
      </c>
      <c r="C7" s="38" t="s">
        <v>198</v>
      </c>
      <c r="D7" s="38" t="s">
        <v>198</v>
      </c>
      <c r="E7" s="38" t="s">
        <v>198</v>
      </c>
      <c r="F7" s="38" t="s">
        <v>198</v>
      </c>
      <c r="G7" s="39" t="s">
        <v>213</v>
      </c>
      <c r="H7" s="39" t="s">
        <v>213</v>
      </c>
      <c r="I7" s="40" t="s">
        <v>201</v>
      </c>
    </row>
    <row r="8" spans="2:9" ht="26.1" customHeight="1" x14ac:dyDescent="0.25">
      <c r="B8" s="42" t="s">
        <v>147</v>
      </c>
      <c r="C8" s="41" t="s">
        <v>254</v>
      </c>
      <c r="D8" s="41" t="s">
        <v>255</v>
      </c>
      <c r="E8" s="41" t="s">
        <v>223</v>
      </c>
      <c r="F8" s="41" t="s">
        <v>224</v>
      </c>
      <c r="G8" s="41" t="s">
        <v>19</v>
      </c>
      <c r="H8" s="41" t="s">
        <v>256</v>
      </c>
      <c r="I8" s="42" t="s">
        <v>153</v>
      </c>
    </row>
    <row r="9" spans="2:9" ht="21" customHeight="1" x14ac:dyDescent="0.25">
      <c r="B9" s="44" t="str">
        <f t="shared" ref="B9:B38" si="0">IF(C9="","","Lot "&amp;C9)</f>
        <v/>
      </c>
      <c r="C9" s="55"/>
      <c r="D9" s="43"/>
      <c r="E9" s="46"/>
      <c r="F9" s="46"/>
      <c r="G9" s="43"/>
      <c r="H9" s="43"/>
      <c r="I9" s="45" t="str">
        <f t="shared" ref="I9:I38" si="1">IF(C9="","",IF(COUNTIF($C$9:$C$38,C9)&gt;1,"⚠ N° en double",IF(AND(E9&lt;&gt;"",F9&lt;&gt;"",F9&lt;E9),"⚠ Fin avant début","✓")))</f>
        <v/>
      </c>
    </row>
    <row r="10" spans="2:9" ht="21" customHeight="1" x14ac:dyDescent="0.25">
      <c r="B10" s="44" t="str">
        <f t="shared" si="0"/>
        <v/>
      </c>
      <c r="C10" s="55"/>
      <c r="D10" s="43"/>
      <c r="E10" s="46"/>
      <c r="F10" s="46"/>
      <c r="G10" s="43"/>
      <c r="H10" s="43"/>
      <c r="I10" s="45" t="str">
        <f t="shared" si="1"/>
        <v/>
      </c>
    </row>
    <row r="11" spans="2:9" ht="21" customHeight="1" x14ac:dyDescent="0.25">
      <c r="B11" s="44" t="str">
        <f t="shared" si="0"/>
        <v/>
      </c>
      <c r="C11" s="55"/>
      <c r="D11" s="43"/>
      <c r="E11" s="46"/>
      <c r="F11" s="46"/>
      <c r="G11" s="43"/>
      <c r="H11" s="43"/>
      <c r="I11" s="45" t="str">
        <f t="shared" si="1"/>
        <v/>
      </c>
    </row>
    <row r="12" spans="2:9" ht="21" customHeight="1" x14ac:dyDescent="0.25">
      <c r="B12" s="44" t="str">
        <f t="shared" si="0"/>
        <v/>
      </c>
      <c r="C12" s="55"/>
      <c r="D12" s="43"/>
      <c r="E12" s="46"/>
      <c r="F12" s="46"/>
      <c r="G12" s="43"/>
      <c r="H12" s="43"/>
      <c r="I12" s="45" t="str">
        <f t="shared" si="1"/>
        <v/>
      </c>
    </row>
    <row r="13" spans="2:9" ht="21" customHeight="1" x14ac:dyDescent="0.25">
      <c r="B13" s="44" t="str">
        <f t="shared" si="0"/>
        <v/>
      </c>
      <c r="C13" s="55"/>
      <c r="D13" s="43"/>
      <c r="E13" s="46"/>
      <c r="F13" s="46"/>
      <c r="G13" s="43"/>
      <c r="H13" s="43"/>
      <c r="I13" s="45" t="str">
        <f t="shared" si="1"/>
        <v/>
      </c>
    </row>
    <row r="14" spans="2:9" ht="21" customHeight="1" x14ac:dyDescent="0.25">
      <c r="B14" s="44" t="str">
        <f t="shared" si="0"/>
        <v/>
      </c>
      <c r="C14" s="55"/>
      <c r="D14" s="43"/>
      <c r="E14" s="46"/>
      <c r="F14" s="46"/>
      <c r="G14" s="43"/>
      <c r="H14" s="43"/>
      <c r="I14" s="45" t="str">
        <f t="shared" si="1"/>
        <v/>
      </c>
    </row>
    <row r="15" spans="2:9" ht="21" customHeight="1" x14ac:dyDescent="0.25">
      <c r="B15" s="44" t="str">
        <f t="shared" si="0"/>
        <v/>
      </c>
      <c r="C15" s="55"/>
      <c r="D15" s="43"/>
      <c r="E15" s="46"/>
      <c r="F15" s="46"/>
      <c r="G15" s="43"/>
      <c r="H15" s="43"/>
      <c r="I15" s="45" t="str">
        <f t="shared" si="1"/>
        <v/>
      </c>
    </row>
    <row r="16" spans="2:9" ht="21" customHeight="1" x14ac:dyDescent="0.25">
      <c r="B16" s="44" t="str">
        <f t="shared" si="0"/>
        <v/>
      </c>
      <c r="C16" s="55"/>
      <c r="D16" s="43"/>
      <c r="E16" s="46"/>
      <c r="F16" s="46"/>
      <c r="G16" s="43"/>
      <c r="H16" s="43"/>
      <c r="I16" s="45" t="str">
        <f t="shared" si="1"/>
        <v/>
      </c>
    </row>
    <row r="17" spans="2:9" ht="21" customHeight="1" x14ac:dyDescent="0.25">
      <c r="B17" s="44" t="str">
        <f t="shared" si="0"/>
        <v/>
      </c>
      <c r="C17" s="55"/>
      <c r="D17" s="43"/>
      <c r="E17" s="46"/>
      <c r="F17" s="46"/>
      <c r="G17" s="43"/>
      <c r="H17" s="43"/>
      <c r="I17" s="45" t="str">
        <f t="shared" si="1"/>
        <v/>
      </c>
    </row>
    <row r="18" spans="2:9" ht="21" customHeight="1" x14ac:dyDescent="0.25">
      <c r="B18" s="44" t="str">
        <f t="shared" si="0"/>
        <v/>
      </c>
      <c r="C18" s="55"/>
      <c r="D18" s="43"/>
      <c r="E18" s="46"/>
      <c r="F18" s="46"/>
      <c r="G18" s="43"/>
      <c r="H18" s="43"/>
      <c r="I18" s="45" t="str">
        <f t="shared" si="1"/>
        <v/>
      </c>
    </row>
    <row r="19" spans="2:9" ht="21" customHeight="1" x14ac:dyDescent="0.25">
      <c r="B19" s="44" t="str">
        <f t="shared" si="0"/>
        <v/>
      </c>
      <c r="C19" s="55"/>
      <c r="D19" s="43"/>
      <c r="E19" s="46"/>
      <c r="F19" s="46"/>
      <c r="G19" s="43"/>
      <c r="H19" s="43"/>
      <c r="I19" s="45" t="str">
        <f t="shared" si="1"/>
        <v/>
      </c>
    </row>
    <row r="20" spans="2:9" ht="21" customHeight="1" x14ac:dyDescent="0.25">
      <c r="B20" s="44" t="str">
        <f t="shared" si="0"/>
        <v/>
      </c>
      <c r="C20" s="55"/>
      <c r="D20" s="43"/>
      <c r="E20" s="46"/>
      <c r="F20" s="46"/>
      <c r="G20" s="43"/>
      <c r="H20" s="43"/>
      <c r="I20" s="45" t="str">
        <f t="shared" si="1"/>
        <v/>
      </c>
    </row>
    <row r="21" spans="2:9" ht="21" customHeight="1" x14ac:dyDescent="0.25">
      <c r="B21" s="44" t="str">
        <f t="shared" si="0"/>
        <v/>
      </c>
      <c r="C21" s="55"/>
      <c r="D21" s="43"/>
      <c r="E21" s="46"/>
      <c r="F21" s="46"/>
      <c r="G21" s="43"/>
      <c r="H21" s="43"/>
      <c r="I21" s="45" t="str">
        <f t="shared" si="1"/>
        <v/>
      </c>
    </row>
    <row r="22" spans="2:9" ht="21" customHeight="1" x14ac:dyDescent="0.25">
      <c r="B22" s="44" t="str">
        <f t="shared" si="0"/>
        <v/>
      </c>
      <c r="C22" s="55"/>
      <c r="D22" s="43"/>
      <c r="E22" s="46"/>
      <c r="F22" s="46"/>
      <c r="G22" s="43"/>
      <c r="H22" s="43"/>
      <c r="I22" s="45" t="str">
        <f t="shared" si="1"/>
        <v/>
      </c>
    </row>
    <row r="23" spans="2:9" ht="21" customHeight="1" x14ac:dyDescent="0.25">
      <c r="B23" s="44" t="str">
        <f t="shared" si="0"/>
        <v/>
      </c>
      <c r="C23" s="55"/>
      <c r="D23" s="43"/>
      <c r="E23" s="46"/>
      <c r="F23" s="46"/>
      <c r="G23" s="43"/>
      <c r="H23" s="43"/>
      <c r="I23" s="45" t="str">
        <f t="shared" si="1"/>
        <v/>
      </c>
    </row>
    <row r="24" spans="2:9" ht="21" customHeight="1" x14ac:dyDescent="0.25">
      <c r="B24" s="44" t="str">
        <f t="shared" si="0"/>
        <v/>
      </c>
      <c r="C24" s="55"/>
      <c r="D24" s="43"/>
      <c r="E24" s="46"/>
      <c r="F24" s="46"/>
      <c r="G24" s="43"/>
      <c r="H24" s="43"/>
      <c r="I24" s="45" t="str">
        <f t="shared" si="1"/>
        <v/>
      </c>
    </row>
    <row r="25" spans="2:9" ht="21" customHeight="1" x14ac:dyDescent="0.25">
      <c r="B25" s="44" t="str">
        <f t="shared" si="0"/>
        <v/>
      </c>
      <c r="C25" s="55"/>
      <c r="D25" s="43"/>
      <c r="E25" s="46"/>
      <c r="F25" s="46"/>
      <c r="G25" s="43"/>
      <c r="H25" s="43"/>
      <c r="I25" s="45" t="str">
        <f t="shared" si="1"/>
        <v/>
      </c>
    </row>
    <row r="26" spans="2:9" ht="21" customHeight="1" x14ac:dyDescent="0.25">
      <c r="B26" s="44" t="str">
        <f t="shared" si="0"/>
        <v/>
      </c>
      <c r="C26" s="55"/>
      <c r="D26" s="43"/>
      <c r="E26" s="46"/>
      <c r="F26" s="46"/>
      <c r="G26" s="43"/>
      <c r="H26" s="43"/>
      <c r="I26" s="45" t="str">
        <f t="shared" si="1"/>
        <v/>
      </c>
    </row>
    <row r="27" spans="2:9" ht="21" customHeight="1" x14ac:dyDescent="0.25">
      <c r="B27" s="44" t="str">
        <f t="shared" si="0"/>
        <v/>
      </c>
      <c r="C27" s="55"/>
      <c r="D27" s="43"/>
      <c r="E27" s="46"/>
      <c r="F27" s="46"/>
      <c r="G27" s="43"/>
      <c r="H27" s="43"/>
      <c r="I27" s="45" t="str">
        <f t="shared" si="1"/>
        <v/>
      </c>
    </row>
    <row r="28" spans="2:9" ht="21" customHeight="1" x14ac:dyDescent="0.25">
      <c r="B28" s="44" t="str">
        <f t="shared" si="0"/>
        <v/>
      </c>
      <c r="C28" s="55"/>
      <c r="D28" s="43"/>
      <c r="E28" s="46"/>
      <c r="F28" s="46"/>
      <c r="G28" s="43"/>
      <c r="H28" s="43"/>
      <c r="I28" s="45" t="str">
        <f t="shared" si="1"/>
        <v/>
      </c>
    </row>
    <row r="29" spans="2:9" ht="21" customHeight="1" x14ac:dyDescent="0.25">
      <c r="B29" s="44" t="str">
        <f t="shared" si="0"/>
        <v/>
      </c>
      <c r="C29" s="55"/>
      <c r="D29" s="43"/>
      <c r="E29" s="46"/>
      <c r="F29" s="46"/>
      <c r="G29" s="43"/>
      <c r="H29" s="43"/>
      <c r="I29" s="45" t="str">
        <f t="shared" si="1"/>
        <v/>
      </c>
    </row>
    <row r="30" spans="2:9" ht="21" customHeight="1" x14ac:dyDescent="0.25">
      <c r="B30" s="44" t="str">
        <f t="shared" si="0"/>
        <v/>
      </c>
      <c r="C30" s="55"/>
      <c r="D30" s="43"/>
      <c r="E30" s="46"/>
      <c r="F30" s="46"/>
      <c r="G30" s="43"/>
      <c r="H30" s="43"/>
      <c r="I30" s="45" t="str">
        <f t="shared" si="1"/>
        <v/>
      </c>
    </row>
    <row r="31" spans="2:9" ht="21" customHeight="1" x14ac:dyDescent="0.25">
      <c r="B31" s="44" t="str">
        <f t="shared" si="0"/>
        <v/>
      </c>
      <c r="C31" s="55"/>
      <c r="D31" s="43"/>
      <c r="E31" s="46"/>
      <c r="F31" s="46"/>
      <c r="G31" s="43"/>
      <c r="H31" s="43"/>
      <c r="I31" s="45" t="str">
        <f t="shared" si="1"/>
        <v/>
      </c>
    </row>
    <row r="32" spans="2:9" ht="21" customHeight="1" x14ac:dyDescent="0.25">
      <c r="B32" s="44" t="str">
        <f t="shared" si="0"/>
        <v/>
      </c>
      <c r="C32" s="55"/>
      <c r="D32" s="43"/>
      <c r="E32" s="46"/>
      <c r="F32" s="46"/>
      <c r="G32" s="43"/>
      <c r="H32" s="43"/>
      <c r="I32" s="45" t="str">
        <f t="shared" si="1"/>
        <v/>
      </c>
    </row>
    <row r="33" spans="2:9" ht="21" customHeight="1" x14ac:dyDescent="0.25">
      <c r="B33" s="44" t="str">
        <f t="shared" si="0"/>
        <v/>
      </c>
      <c r="C33" s="55"/>
      <c r="D33" s="43"/>
      <c r="E33" s="46"/>
      <c r="F33" s="46"/>
      <c r="G33" s="43"/>
      <c r="H33" s="43"/>
      <c r="I33" s="45" t="str">
        <f t="shared" si="1"/>
        <v/>
      </c>
    </row>
    <row r="34" spans="2:9" ht="21" customHeight="1" x14ac:dyDescent="0.25">
      <c r="B34" s="44" t="str">
        <f t="shared" si="0"/>
        <v/>
      </c>
      <c r="C34" s="55"/>
      <c r="D34" s="43"/>
      <c r="E34" s="46"/>
      <c r="F34" s="46"/>
      <c r="G34" s="43"/>
      <c r="H34" s="43"/>
      <c r="I34" s="45" t="str">
        <f t="shared" si="1"/>
        <v/>
      </c>
    </row>
    <row r="35" spans="2:9" ht="21" customHeight="1" x14ac:dyDescent="0.25">
      <c r="B35" s="44" t="str">
        <f t="shared" si="0"/>
        <v/>
      </c>
      <c r="C35" s="55"/>
      <c r="D35" s="43"/>
      <c r="E35" s="46"/>
      <c r="F35" s="46"/>
      <c r="G35" s="43"/>
      <c r="H35" s="43"/>
      <c r="I35" s="45" t="str">
        <f t="shared" si="1"/>
        <v/>
      </c>
    </row>
    <row r="36" spans="2:9" ht="21" customHeight="1" x14ac:dyDescent="0.25">
      <c r="B36" s="44" t="str">
        <f t="shared" si="0"/>
        <v/>
      </c>
      <c r="C36" s="55"/>
      <c r="D36" s="43"/>
      <c r="E36" s="46"/>
      <c r="F36" s="46"/>
      <c r="G36" s="43"/>
      <c r="H36" s="43"/>
      <c r="I36" s="45" t="str">
        <f t="shared" si="1"/>
        <v/>
      </c>
    </row>
    <row r="37" spans="2:9" ht="21" customHeight="1" x14ac:dyDescent="0.25">
      <c r="B37" s="44" t="str">
        <f t="shared" si="0"/>
        <v/>
      </c>
      <c r="C37" s="55"/>
      <c r="D37" s="43"/>
      <c r="E37" s="46"/>
      <c r="F37" s="46"/>
      <c r="G37" s="43"/>
      <c r="H37" s="43"/>
      <c r="I37" s="45" t="str">
        <f t="shared" si="1"/>
        <v/>
      </c>
    </row>
    <row r="38" spans="2:9" ht="21" customHeight="1" x14ac:dyDescent="0.25">
      <c r="B38" s="44" t="str">
        <f t="shared" si="0"/>
        <v/>
      </c>
      <c r="C38" s="55"/>
      <c r="D38" s="43"/>
      <c r="E38" s="46"/>
      <c r="F38" s="46"/>
      <c r="G38" s="43"/>
      <c r="H38" s="43"/>
      <c r="I38" s="45" t="str">
        <f t="shared" si="1"/>
        <v/>
      </c>
    </row>
  </sheetData>
  <sheetProtection sheet="1" formatColumns="0" formatRows="0" sort="0" autoFilter="0"/>
  <autoFilter ref="B8:I8" xr:uid="{00000000-0009-0000-0000-000009000000}"/>
  <conditionalFormatting sqref="C9:F38">
    <cfRule type="expression" dxfId="36" priority="1">
      <formula>AND(OR($C9&lt;&gt;"",$D9&lt;&gt;"",$E9&lt;&gt;"",$F9&lt;&gt;"",$G9&lt;&gt;"",$H9&lt;&gt;""),C9="")</formula>
    </cfRule>
  </conditionalFormatting>
  <dataValidations count="4">
    <dataValidation type="whole" allowBlank="1" showErrorMessage="1" errorTitle="Numéro attendu" error="Saisissez un nombre entier entre 1 et 99." sqref="C9:C38" xr:uid="{00000000-0002-0000-0900-000000000000}">
      <formula1>1</formula1>
      <formula2>99</formula2>
    </dataValidation>
    <dataValidation type="date" operator="greaterThan" allowBlank="1" showErrorMessage="1" errorTitle="Date attendue" error="Saisissez une date au format JJ/MM/AAAA." sqref="E9:F38" xr:uid="{00000000-0002-0000-0900-000002000000}">
      <formula1>36526</formula1>
    </dataValidation>
    <dataValidation type="list" allowBlank="1" showErrorMessage="1" errorTitle="Valeur hors liste" error="Choisissez une valeur dans la liste. Elle se remplit à partir de l’onglet correspondant." sqref="G9:G38" xr:uid="{00000000-0002-0000-0900-000004000000}">
      <formula1>L_StatutLot</formula1>
    </dataValidation>
    <dataValidation type="list" allowBlank="1" showErrorMessage="1" errorTitle="Valeur hors liste" error="Choisissez une valeur dans la liste. Elle se remplit à partir de l’onglet correspondant." sqref="H9:H38" xr:uid="{00000000-0002-0000-0900-000006000000}">
      <formula1>L_Personnes</formula1>
    </dataValidation>
  </dataValidations>
  <hyperlinks>
    <hyperlink ref="I3" location="#'Complétude'!A1" display="↩  Complétude" xr:uid="{00000000-0004-0000-09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0000000-000E-0000-0900-000005000000}">
            <xm:f>NOT(ISERROR(SEARCH("⚠",I9)))</xm:f>
            <x14:dxf>
              <font>
                <b/>
                <color rgb="FFC2473B"/>
              </font>
            </x14:dxf>
          </x14:cfRule>
          <x14:cfRule type="containsText" priority="5" operator="containsText" id="{00000000-000E-0000-0900-000005000000}">
            <xm:f>NOT(ISERROR(SEARCH("◔",I9)))</xm:f>
            <x14:dxf>
              <font>
                <b/>
                <color rgb="FFB26A12"/>
              </font>
            </x14:dxf>
          </x14:cfRule>
          <xm:sqref>I9:I38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D8F86"/>
    <pageSetUpPr fitToPage="1"/>
  </sheetPr>
  <dimension ref="B1:J3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16" customWidth="1"/>
    <col min="3" max="3" width="7" customWidth="1"/>
    <col min="4" max="4" width="22" customWidth="1"/>
    <col min="5" max="5" width="12" customWidth="1"/>
    <col min="6" max="7" width="13" customWidth="1"/>
    <col min="8" max="8" width="14" customWidth="1"/>
    <col min="9" max="9" width="46" customWidth="1"/>
    <col min="10" max="10" width="24" customWidth="1"/>
  </cols>
  <sheetData>
    <row r="1" spans="2:10" ht="12" customHeight="1" x14ac:dyDescent="0.25"/>
    <row r="2" spans="2:10" ht="33.950000000000003" customHeight="1" x14ac:dyDescent="0.45">
      <c r="B2" s="1" t="s">
        <v>47</v>
      </c>
      <c r="J2" s="35">
        <f>Complétude!$I26</f>
        <v>0</v>
      </c>
    </row>
    <row r="3" spans="2:10" ht="18" customHeight="1" x14ac:dyDescent="0.25">
      <c r="B3" s="2" t="s">
        <v>257</v>
      </c>
      <c r="J3" s="36" t="s">
        <v>195</v>
      </c>
    </row>
    <row r="4" spans="2:10" ht="18" customHeight="1" x14ac:dyDescent="0.25">
      <c r="B4" t="s">
        <v>258</v>
      </c>
    </row>
    <row r="5" spans="2:10" ht="15.95" customHeight="1" x14ac:dyDescent="0.25">
      <c r="B5" s="37" t="s">
        <v>259</v>
      </c>
    </row>
    <row r="6" spans="2:10" ht="9.9499999999999993" customHeight="1" x14ac:dyDescent="0.25"/>
    <row r="7" spans="2:10" ht="15" customHeight="1" x14ac:dyDescent="0.25">
      <c r="B7" s="40" t="s">
        <v>200</v>
      </c>
      <c r="C7" s="38" t="s">
        <v>198</v>
      </c>
      <c r="D7" s="38" t="s">
        <v>198</v>
      </c>
      <c r="E7" s="38" t="s">
        <v>212</v>
      </c>
      <c r="F7" s="38" t="s">
        <v>198</v>
      </c>
      <c r="G7" s="38" t="s">
        <v>198</v>
      </c>
      <c r="H7" s="39" t="s">
        <v>213</v>
      </c>
      <c r="I7" s="39" t="s">
        <v>199</v>
      </c>
      <c r="J7" s="40" t="s">
        <v>201</v>
      </c>
    </row>
    <row r="8" spans="2:10" ht="26.1" customHeight="1" x14ac:dyDescent="0.25">
      <c r="B8" s="42" t="s">
        <v>147</v>
      </c>
      <c r="C8" s="41" t="s">
        <v>254</v>
      </c>
      <c r="D8" s="41" t="s">
        <v>202</v>
      </c>
      <c r="E8" s="41" t="s">
        <v>103</v>
      </c>
      <c r="F8" s="41" t="s">
        <v>223</v>
      </c>
      <c r="G8" s="41" t="s">
        <v>224</v>
      </c>
      <c r="H8" s="41" t="s">
        <v>19</v>
      </c>
      <c r="I8" s="41" t="s">
        <v>203</v>
      </c>
      <c r="J8" s="42" t="s">
        <v>153</v>
      </c>
    </row>
    <row r="9" spans="2:10" ht="21" customHeight="1" x14ac:dyDescent="0.25">
      <c r="B9" s="44" t="str">
        <f t="shared" ref="B9:B38" si="0">IF(C9="","",C9&amp;" · "&amp;D9)</f>
        <v/>
      </c>
      <c r="C9" s="55"/>
      <c r="D9" s="43"/>
      <c r="E9" s="43"/>
      <c r="F9" s="46"/>
      <c r="G9" s="46"/>
      <c r="H9" s="43"/>
      <c r="I9" s="43"/>
      <c r="J9" s="45" t="str">
        <f t="shared" ref="J9:J38" si="1">IF(C9="","",IF(COUNTIF($C$9:$C$38,C9)&gt;1,"⚠ N° en double",IF(AND(F9&lt;&gt;"",G9&lt;&gt;"",G9&lt;F9),"⚠ Fin avant début","✓")))</f>
        <v/>
      </c>
    </row>
    <row r="10" spans="2:10" ht="21" customHeight="1" x14ac:dyDescent="0.25">
      <c r="B10" s="44" t="str">
        <f t="shared" si="0"/>
        <v/>
      </c>
      <c r="C10" s="55"/>
      <c r="D10" s="43"/>
      <c r="E10" s="43"/>
      <c r="F10" s="46"/>
      <c r="G10" s="46"/>
      <c r="H10" s="43"/>
      <c r="I10" s="43"/>
      <c r="J10" s="45" t="str">
        <f t="shared" si="1"/>
        <v/>
      </c>
    </row>
    <row r="11" spans="2:10" ht="21" customHeight="1" x14ac:dyDescent="0.25">
      <c r="B11" s="44" t="str">
        <f t="shared" si="0"/>
        <v/>
      </c>
      <c r="C11" s="55"/>
      <c r="D11" s="43"/>
      <c r="E11" s="43"/>
      <c r="F11" s="46"/>
      <c r="G11" s="46"/>
      <c r="H11" s="43"/>
      <c r="I11" s="43"/>
      <c r="J11" s="45" t="str">
        <f t="shared" si="1"/>
        <v/>
      </c>
    </row>
    <row r="12" spans="2:10" ht="21" customHeight="1" x14ac:dyDescent="0.25">
      <c r="B12" s="44" t="str">
        <f t="shared" si="0"/>
        <v/>
      </c>
      <c r="C12" s="55"/>
      <c r="D12" s="43"/>
      <c r="E12" s="43"/>
      <c r="F12" s="46"/>
      <c r="G12" s="46"/>
      <c r="H12" s="43"/>
      <c r="I12" s="43"/>
      <c r="J12" s="45" t="str">
        <f t="shared" si="1"/>
        <v/>
      </c>
    </row>
    <row r="13" spans="2:10" ht="21" customHeight="1" x14ac:dyDescent="0.25">
      <c r="B13" s="44" t="str">
        <f t="shared" si="0"/>
        <v/>
      </c>
      <c r="C13" s="55"/>
      <c r="D13" s="43"/>
      <c r="E13" s="43"/>
      <c r="F13" s="46"/>
      <c r="G13" s="46"/>
      <c r="H13" s="43"/>
      <c r="I13" s="43"/>
      <c r="J13" s="45" t="str">
        <f t="shared" si="1"/>
        <v/>
      </c>
    </row>
    <row r="14" spans="2:10" ht="21" customHeight="1" x14ac:dyDescent="0.25">
      <c r="B14" s="44" t="str">
        <f t="shared" si="0"/>
        <v/>
      </c>
      <c r="C14" s="55"/>
      <c r="D14" s="43"/>
      <c r="E14" s="43"/>
      <c r="F14" s="46"/>
      <c r="G14" s="46"/>
      <c r="H14" s="43"/>
      <c r="I14" s="43"/>
      <c r="J14" s="45" t="str">
        <f t="shared" si="1"/>
        <v/>
      </c>
    </row>
    <row r="15" spans="2:10" ht="21" customHeight="1" x14ac:dyDescent="0.25">
      <c r="B15" s="44" t="str">
        <f t="shared" si="0"/>
        <v/>
      </c>
      <c r="C15" s="55"/>
      <c r="D15" s="43"/>
      <c r="E15" s="43"/>
      <c r="F15" s="46"/>
      <c r="G15" s="46"/>
      <c r="H15" s="43"/>
      <c r="I15" s="43"/>
      <c r="J15" s="45" t="str">
        <f t="shared" si="1"/>
        <v/>
      </c>
    </row>
    <row r="16" spans="2:10" ht="21" customHeight="1" x14ac:dyDescent="0.25">
      <c r="B16" s="44" t="str">
        <f t="shared" si="0"/>
        <v/>
      </c>
      <c r="C16" s="55"/>
      <c r="D16" s="43"/>
      <c r="E16" s="43"/>
      <c r="F16" s="46"/>
      <c r="G16" s="46"/>
      <c r="H16" s="43"/>
      <c r="I16" s="43"/>
      <c r="J16" s="45" t="str">
        <f t="shared" si="1"/>
        <v/>
      </c>
    </row>
    <row r="17" spans="2:10" ht="21" customHeight="1" x14ac:dyDescent="0.25">
      <c r="B17" s="44" t="str">
        <f t="shared" si="0"/>
        <v/>
      </c>
      <c r="C17" s="55"/>
      <c r="D17" s="43"/>
      <c r="E17" s="43"/>
      <c r="F17" s="46"/>
      <c r="G17" s="46"/>
      <c r="H17" s="43"/>
      <c r="I17" s="43"/>
      <c r="J17" s="45" t="str">
        <f t="shared" si="1"/>
        <v/>
      </c>
    </row>
    <row r="18" spans="2:10" ht="21" customHeight="1" x14ac:dyDescent="0.25">
      <c r="B18" s="44" t="str">
        <f t="shared" si="0"/>
        <v/>
      </c>
      <c r="C18" s="55"/>
      <c r="D18" s="43"/>
      <c r="E18" s="43"/>
      <c r="F18" s="46"/>
      <c r="G18" s="46"/>
      <c r="H18" s="43"/>
      <c r="I18" s="43"/>
      <c r="J18" s="45" t="str">
        <f t="shared" si="1"/>
        <v/>
      </c>
    </row>
    <row r="19" spans="2:10" ht="21" customHeight="1" x14ac:dyDescent="0.25">
      <c r="B19" s="44" t="str">
        <f t="shared" si="0"/>
        <v/>
      </c>
      <c r="C19" s="55"/>
      <c r="D19" s="43"/>
      <c r="E19" s="43"/>
      <c r="F19" s="46"/>
      <c r="G19" s="46"/>
      <c r="H19" s="43"/>
      <c r="I19" s="43"/>
      <c r="J19" s="45" t="str">
        <f t="shared" si="1"/>
        <v/>
      </c>
    </row>
    <row r="20" spans="2:10" ht="21" customHeight="1" x14ac:dyDescent="0.25">
      <c r="B20" s="44" t="str">
        <f t="shared" si="0"/>
        <v/>
      </c>
      <c r="C20" s="55"/>
      <c r="D20" s="43"/>
      <c r="E20" s="43"/>
      <c r="F20" s="46"/>
      <c r="G20" s="46"/>
      <c r="H20" s="43"/>
      <c r="I20" s="43"/>
      <c r="J20" s="45" t="str">
        <f t="shared" si="1"/>
        <v/>
      </c>
    </row>
    <row r="21" spans="2:10" ht="21" customHeight="1" x14ac:dyDescent="0.25">
      <c r="B21" s="44" t="str">
        <f t="shared" si="0"/>
        <v/>
      </c>
      <c r="C21" s="55"/>
      <c r="D21" s="43"/>
      <c r="E21" s="43"/>
      <c r="F21" s="46"/>
      <c r="G21" s="46"/>
      <c r="H21" s="43"/>
      <c r="I21" s="43"/>
      <c r="J21" s="45" t="str">
        <f t="shared" si="1"/>
        <v/>
      </c>
    </row>
    <row r="22" spans="2:10" ht="21" customHeight="1" x14ac:dyDescent="0.25">
      <c r="B22" s="44" t="str">
        <f t="shared" si="0"/>
        <v/>
      </c>
      <c r="C22" s="55"/>
      <c r="D22" s="43"/>
      <c r="E22" s="43"/>
      <c r="F22" s="46"/>
      <c r="G22" s="46"/>
      <c r="H22" s="43"/>
      <c r="I22" s="43"/>
      <c r="J22" s="45" t="str">
        <f t="shared" si="1"/>
        <v/>
      </c>
    </row>
    <row r="23" spans="2:10" ht="21" customHeight="1" x14ac:dyDescent="0.25">
      <c r="B23" s="44" t="str">
        <f t="shared" si="0"/>
        <v/>
      </c>
      <c r="C23" s="55"/>
      <c r="D23" s="43"/>
      <c r="E23" s="43"/>
      <c r="F23" s="46"/>
      <c r="G23" s="46"/>
      <c r="H23" s="43"/>
      <c r="I23" s="43"/>
      <c r="J23" s="45" t="str">
        <f t="shared" si="1"/>
        <v/>
      </c>
    </row>
    <row r="24" spans="2:10" ht="21" customHeight="1" x14ac:dyDescent="0.25">
      <c r="B24" s="44" t="str">
        <f t="shared" si="0"/>
        <v/>
      </c>
      <c r="C24" s="55"/>
      <c r="D24" s="43"/>
      <c r="E24" s="43"/>
      <c r="F24" s="46"/>
      <c r="G24" s="46"/>
      <c r="H24" s="43"/>
      <c r="I24" s="43"/>
      <c r="J24" s="45" t="str">
        <f t="shared" si="1"/>
        <v/>
      </c>
    </row>
    <row r="25" spans="2:10" ht="21" customHeight="1" x14ac:dyDescent="0.25">
      <c r="B25" s="44" t="str">
        <f t="shared" si="0"/>
        <v/>
      </c>
      <c r="C25" s="55"/>
      <c r="D25" s="43"/>
      <c r="E25" s="43"/>
      <c r="F25" s="46"/>
      <c r="G25" s="46"/>
      <c r="H25" s="43"/>
      <c r="I25" s="43"/>
      <c r="J25" s="45" t="str">
        <f t="shared" si="1"/>
        <v/>
      </c>
    </row>
    <row r="26" spans="2:10" ht="21" customHeight="1" x14ac:dyDescent="0.25">
      <c r="B26" s="44" t="str">
        <f t="shared" si="0"/>
        <v/>
      </c>
      <c r="C26" s="55"/>
      <c r="D26" s="43"/>
      <c r="E26" s="43"/>
      <c r="F26" s="46"/>
      <c r="G26" s="46"/>
      <c r="H26" s="43"/>
      <c r="I26" s="43"/>
      <c r="J26" s="45" t="str">
        <f t="shared" si="1"/>
        <v/>
      </c>
    </row>
    <row r="27" spans="2:10" ht="21" customHeight="1" x14ac:dyDescent="0.25">
      <c r="B27" s="44" t="str">
        <f t="shared" si="0"/>
        <v/>
      </c>
      <c r="C27" s="55"/>
      <c r="D27" s="43"/>
      <c r="E27" s="43"/>
      <c r="F27" s="46"/>
      <c r="G27" s="46"/>
      <c r="H27" s="43"/>
      <c r="I27" s="43"/>
      <c r="J27" s="45" t="str">
        <f t="shared" si="1"/>
        <v/>
      </c>
    </row>
    <row r="28" spans="2:10" ht="21" customHeight="1" x14ac:dyDescent="0.25">
      <c r="B28" s="44" t="str">
        <f t="shared" si="0"/>
        <v/>
      </c>
      <c r="C28" s="55"/>
      <c r="D28" s="43"/>
      <c r="E28" s="43"/>
      <c r="F28" s="46"/>
      <c r="G28" s="46"/>
      <c r="H28" s="43"/>
      <c r="I28" s="43"/>
      <c r="J28" s="45" t="str">
        <f t="shared" si="1"/>
        <v/>
      </c>
    </row>
    <row r="29" spans="2:10" ht="21" customHeight="1" x14ac:dyDescent="0.25">
      <c r="B29" s="44" t="str">
        <f t="shared" si="0"/>
        <v/>
      </c>
      <c r="C29" s="55"/>
      <c r="D29" s="43"/>
      <c r="E29" s="43"/>
      <c r="F29" s="46"/>
      <c r="G29" s="46"/>
      <c r="H29" s="43"/>
      <c r="I29" s="43"/>
      <c r="J29" s="45" t="str">
        <f t="shared" si="1"/>
        <v/>
      </c>
    </row>
    <row r="30" spans="2:10" ht="21" customHeight="1" x14ac:dyDescent="0.25">
      <c r="B30" s="44" t="str">
        <f t="shared" si="0"/>
        <v/>
      </c>
      <c r="C30" s="55"/>
      <c r="D30" s="43"/>
      <c r="E30" s="43"/>
      <c r="F30" s="46"/>
      <c r="G30" s="46"/>
      <c r="H30" s="43"/>
      <c r="I30" s="43"/>
      <c r="J30" s="45" t="str">
        <f t="shared" si="1"/>
        <v/>
      </c>
    </row>
    <row r="31" spans="2:10" ht="21" customHeight="1" x14ac:dyDescent="0.25">
      <c r="B31" s="44" t="str">
        <f t="shared" si="0"/>
        <v/>
      </c>
      <c r="C31" s="55"/>
      <c r="D31" s="43"/>
      <c r="E31" s="43"/>
      <c r="F31" s="46"/>
      <c r="G31" s="46"/>
      <c r="H31" s="43"/>
      <c r="I31" s="43"/>
      <c r="J31" s="45" t="str">
        <f t="shared" si="1"/>
        <v/>
      </c>
    </row>
    <row r="32" spans="2:10" ht="21" customHeight="1" x14ac:dyDescent="0.25">
      <c r="B32" s="44" t="str">
        <f t="shared" si="0"/>
        <v/>
      </c>
      <c r="C32" s="55"/>
      <c r="D32" s="43"/>
      <c r="E32" s="43"/>
      <c r="F32" s="46"/>
      <c r="G32" s="46"/>
      <c r="H32" s="43"/>
      <c r="I32" s="43"/>
      <c r="J32" s="45" t="str">
        <f t="shared" si="1"/>
        <v/>
      </c>
    </row>
    <row r="33" spans="2:10" ht="21" customHeight="1" x14ac:dyDescent="0.25">
      <c r="B33" s="44" t="str">
        <f t="shared" si="0"/>
        <v/>
      </c>
      <c r="C33" s="55"/>
      <c r="D33" s="43"/>
      <c r="E33" s="43"/>
      <c r="F33" s="46"/>
      <c r="G33" s="46"/>
      <c r="H33" s="43"/>
      <c r="I33" s="43"/>
      <c r="J33" s="45" t="str">
        <f t="shared" si="1"/>
        <v/>
      </c>
    </row>
    <row r="34" spans="2:10" ht="21" customHeight="1" x14ac:dyDescent="0.25">
      <c r="B34" s="44" t="str">
        <f t="shared" si="0"/>
        <v/>
      </c>
      <c r="C34" s="55"/>
      <c r="D34" s="43"/>
      <c r="E34" s="43"/>
      <c r="F34" s="46"/>
      <c r="G34" s="46"/>
      <c r="H34" s="43"/>
      <c r="I34" s="43"/>
      <c r="J34" s="45" t="str">
        <f t="shared" si="1"/>
        <v/>
      </c>
    </row>
    <row r="35" spans="2:10" ht="21" customHeight="1" x14ac:dyDescent="0.25">
      <c r="B35" s="44" t="str">
        <f t="shared" si="0"/>
        <v/>
      </c>
      <c r="C35" s="55"/>
      <c r="D35" s="43"/>
      <c r="E35" s="43"/>
      <c r="F35" s="46"/>
      <c r="G35" s="46"/>
      <c r="H35" s="43"/>
      <c r="I35" s="43"/>
      <c r="J35" s="45" t="str">
        <f t="shared" si="1"/>
        <v/>
      </c>
    </row>
    <row r="36" spans="2:10" ht="21" customHeight="1" x14ac:dyDescent="0.25">
      <c r="B36" s="44" t="str">
        <f t="shared" si="0"/>
        <v/>
      </c>
      <c r="C36" s="55"/>
      <c r="D36" s="43"/>
      <c r="E36" s="43"/>
      <c r="F36" s="46"/>
      <c r="G36" s="46"/>
      <c r="H36" s="43"/>
      <c r="I36" s="43"/>
      <c r="J36" s="45" t="str">
        <f t="shared" si="1"/>
        <v/>
      </c>
    </row>
    <row r="37" spans="2:10" ht="21" customHeight="1" x14ac:dyDescent="0.25">
      <c r="B37" s="44" t="str">
        <f t="shared" si="0"/>
        <v/>
      </c>
      <c r="C37" s="55"/>
      <c r="D37" s="43"/>
      <c r="E37" s="43"/>
      <c r="F37" s="46"/>
      <c r="G37" s="46"/>
      <c r="H37" s="43"/>
      <c r="I37" s="43"/>
      <c r="J37" s="45" t="str">
        <f t="shared" si="1"/>
        <v/>
      </c>
    </row>
    <row r="38" spans="2:10" ht="21" customHeight="1" x14ac:dyDescent="0.25">
      <c r="B38" s="44" t="str">
        <f t="shared" si="0"/>
        <v/>
      </c>
      <c r="C38" s="55"/>
      <c r="D38" s="43"/>
      <c r="E38" s="43"/>
      <c r="F38" s="46"/>
      <c r="G38" s="46"/>
      <c r="H38" s="43"/>
      <c r="I38" s="43"/>
      <c r="J38" s="45" t="str">
        <f t="shared" si="1"/>
        <v/>
      </c>
    </row>
  </sheetData>
  <sheetProtection sheet="1" formatColumns="0" formatRows="0" sort="0" autoFilter="0"/>
  <autoFilter ref="B8:J8" xr:uid="{00000000-0009-0000-0000-00000A000000}"/>
  <conditionalFormatting sqref="C9:G38">
    <cfRule type="expression" dxfId="33" priority="1">
      <formula>AND(OR($C9&lt;&gt;"",$D9&lt;&gt;"",$E9&lt;&gt;"",$F9&lt;&gt;"",$G9&lt;&gt;"",$H9&lt;&gt;"",$I9&lt;&gt;""),C9="")</formula>
    </cfRule>
  </conditionalFormatting>
  <dataValidations count="4">
    <dataValidation type="whole" allowBlank="1" showErrorMessage="1" errorTitle="Numéro attendu" error="Saisissez un nombre entier entre 1 et 99." sqref="C9:C38" xr:uid="{00000000-0002-0000-0A00-000000000000}">
      <formula1>1</formula1>
      <formula2>99</formula2>
    </dataValidation>
    <dataValidation type="list" allowBlank="1" showErrorMessage="1" errorTitle="Valeur hors liste" error="Choisissez une valeur dans la liste. Elle se remplit à partir de l’onglet correspondant." sqref="E9:E38" xr:uid="{00000000-0002-0000-0A00-000002000000}">
      <formula1>L_Lots</formula1>
    </dataValidation>
    <dataValidation type="date" operator="greaterThan" allowBlank="1" showErrorMessage="1" errorTitle="Date attendue" error="Saisissez une date au format JJ/MM/AAAA." sqref="F9:G38" xr:uid="{00000000-0002-0000-0A00-000004000000}">
      <formula1>36526</formula1>
    </dataValidation>
    <dataValidation type="list" allowBlank="1" showErrorMessage="1" errorTitle="Valeur hors liste" error="Choisissez une valeur dans la liste. Elle se remplit à partir de l’onglet correspondant." sqref="H9:H38" xr:uid="{00000000-0002-0000-0A00-000006000000}">
      <formula1>L_StatutPhase</formula1>
    </dataValidation>
  </dataValidations>
  <hyperlinks>
    <hyperlink ref="J3" location="#'Complétude'!A1" display="↩  Complétude" xr:uid="{00000000-0004-0000-0A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00000000-000E-0000-0A00-000006000000}">
            <xm:f>NOT(ISERROR(SEARCH("⚠",J9)))</xm:f>
            <x14:dxf>
              <font>
                <b/>
                <color rgb="FFC2473B"/>
              </font>
            </x14:dxf>
          </x14:cfRule>
          <x14:cfRule type="containsText" priority="6" operator="containsText" id="{00000000-000E-0000-0A00-000006000000}">
            <xm:f>NOT(ISERROR(SEARCH("◔",J9)))</xm:f>
            <x14:dxf>
              <font>
                <b/>
                <color rgb="FFB26A12"/>
              </font>
            </x14:dxf>
          </x14:cfRule>
          <xm:sqref>J9:J38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D8F86"/>
    <pageSetUpPr fitToPage="1"/>
  </sheetPr>
  <dimension ref="B1:J8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18" customWidth="1"/>
    <col min="4" max="4" width="8" customWidth="1"/>
    <col min="5" max="5" width="32" customWidth="1"/>
    <col min="6" max="7" width="13" customWidth="1"/>
    <col min="8" max="8" width="14" customWidth="1"/>
    <col min="9" max="9" width="40" customWidth="1"/>
    <col min="10" max="10" width="28" customWidth="1"/>
  </cols>
  <sheetData>
    <row r="1" spans="2:10" ht="12" customHeight="1" x14ac:dyDescent="0.25"/>
    <row r="2" spans="2:10" ht="33.950000000000003" customHeight="1" x14ac:dyDescent="0.45">
      <c r="B2" s="1" t="s">
        <v>50</v>
      </c>
      <c r="J2" s="35">
        <f>Complétude!$I27</f>
        <v>0</v>
      </c>
    </row>
    <row r="3" spans="2:10" ht="18" customHeight="1" x14ac:dyDescent="0.25">
      <c r="B3" s="2" t="s">
        <v>260</v>
      </c>
      <c r="J3" s="36" t="s">
        <v>195</v>
      </c>
    </row>
    <row r="4" spans="2:10" ht="18" customHeight="1" x14ac:dyDescent="0.25">
      <c r="B4" t="s">
        <v>261</v>
      </c>
    </row>
    <row r="5" spans="2:10" ht="15.95" customHeight="1" x14ac:dyDescent="0.25">
      <c r="B5" s="37" t="s">
        <v>262</v>
      </c>
    </row>
    <row r="6" spans="2:10" ht="9.9499999999999993" customHeight="1" x14ac:dyDescent="0.25"/>
    <row r="7" spans="2:10" ht="15" customHeight="1" x14ac:dyDescent="0.25">
      <c r="B7" s="40" t="s">
        <v>200</v>
      </c>
      <c r="C7" s="38" t="s">
        <v>212</v>
      </c>
      <c r="D7" s="38" t="s">
        <v>198</v>
      </c>
      <c r="E7" s="38" t="s">
        <v>198</v>
      </c>
      <c r="F7" s="39" t="s">
        <v>199</v>
      </c>
      <c r="G7" s="39" t="s">
        <v>199</v>
      </c>
      <c r="H7" s="39" t="s">
        <v>213</v>
      </c>
      <c r="I7" s="39" t="s">
        <v>199</v>
      </c>
      <c r="J7" s="40" t="s">
        <v>201</v>
      </c>
    </row>
    <row r="8" spans="2:10" ht="26.1" customHeight="1" x14ac:dyDescent="0.25">
      <c r="B8" s="42" t="s">
        <v>147</v>
      </c>
      <c r="C8" s="41" t="s">
        <v>107</v>
      </c>
      <c r="D8" s="41" t="s">
        <v>254</v>
      </c>
      <c r="E8" s="41" t="s">
        <v>202</v>
      </c>
      <c r="F8" s="41" t="s">
        <v>223</v>
      </c>
      <c r="G8" s="41" t="s">
        <v>224</v>
      </c>
      <c r="H8" s="41" t="s">
        <v>19</v>
      </c>
      <c r="I8" s="41" t="s">
        <v>203</v>
      </c>
      <c r="J8" s="42" t="s">
        <v>153</v>
      </c>
    </row>
    <row r="9" spans="2:10" ht="21" customHeight="1" x14ac:dyDescent="0.25">
      <c r="B9" s="44" t="str">
        <f t="shared" ref="B9:B40" si="0">IF(D9="","",D9&amp;" · "&amp;E9)</f>
        <v/>
      </c>
      <c r="C9" s="43"/>
      <c r="D9" s="43"/>
      <c r="E9" s="43"/>
      <c r="F9" s="46"/>
      <c r="G9" s="46"/>
      <c r="H9" s="43"/>
      <c r="I9" s="43"/>
      <c r="J9" s="45" t="str">
        <f>IF(OR(C9="",D9=""),"",IF(COUNTIF($D$9:$D$88,D9)&gt;1,"⚠ N° en double",IF(AND(F9&lt;&gt;"",G9&lt;&gt;"",G9&lt;F9),"⚠ Fin avant début",IF(AND(F9&lt;&gt;"",IFERROR(F9&lt;INDEX('08 Phases'!$F$9:$F$38,MATCH(C9,'08 Phases'!$B$9:$B$38,0)),FALSE)),"◔ Début avant la phase",IF(AND(G9&lt;&gt;"",IFERROR(G9&gt;INDEX('08 Phases'!$G$9:$G$38,MATCH(C9,'08 Phases'!$B$9:$B$38,0)),FALSE)),"◔ Fin après la phase","✓")))))</f>
        <v/>
      </c>
    </row>
    <row r="10" spans="2:10" ht="21" customHeight="1" x14ac:dyDescent="0.25">
      <c r="B10" s="44" t="str">
        <f t="shared" si="0"/>
        <v/>
      </c>
      <c r="C10" s="43"/>
      <c r="D10" s="43"/>
      <c r="E10" s="43"/>
      <c r="F10" s="46"/>
      <c r="G10" s="46"/>
      <c r="H10" s="43"/>
      <c r="I10" s="43"/>
      <c r="J10" s="45" t="str">
        <f>IF(OR(C10="",D10=""),"",IF(COUNTIF($D$9:$D$88,D10)&gt;1,"⚠ N° en double",IF(AND(F10&lt;&gt;"",G10&lt;&gt;"",G10&lt;F10),"⚠ Fin avant début",IF(AND(F10&lt;&gt;"",IFERROR(F10&lt;INDEX('08 Phases'!$F$9:$F$38,MATCH(C10,'08 Phases'!$B$9:$B$38,0)),FALSE)),"◔ Début avant la phase",IF(AND(G10&lt;&gt;"",IFERROR(G10&gt;INDEX('08 Phases'!$G$9:$G$38,MATCH(C10,'08 Phases'!$B$9:$B$38,0)),FALSE)),"◔ Fin après la phase","✓")))))</f>
        <v/>
      </c>
    </row>
    <row r="11" spans="2:10" ht="21" customHeight="1" x14ac:dyDescent="0.25">
      <c r="B11" s="44" t="str">
        <f t="shared" si="0"/>
        <v/>
      </c>
      <c r="C11" s="43"/>
      <c r="D11" s="43"/>
      <c r="E11" s="43"/>
      <c r="F11" s="46"/>
      <c r="G11" s="46"/>
      <c r="H11" s="43"/>
      <c r="I11" s="43"/>
      <c r="J11" s="45" t="str">
        <f>IF(OR(C11="",D11=""),"",IF(COUNTIF($D$9:$D$88,D11)&gt;1,"⚠ N° en double",IF(AND(F11&lt;&gt;"",G11&lt;&gt;"",G11&lt;F11),"⚠ Fin avant début",IF(AND(F11&lt;&gt;"",IFERROR(F11&lt;INDEX('08 Phases'!$F$9:$F$38,MATCH(C11,'08 Phases'!$B$9:$B$38,0)),FALSE)),"◔ Début avant la phase",IF(AND(G11&lt;&gt;"",IFERROR(G11&gt;INDEX('08 Phases'!$G$9:$G$38,MATCH(C11,'08 Phases'!$B$9:$B$38,0)),FALSE)),"◔ Fin après la phase","✓")))))</f>
        <v/>
      </c>
    </row>
    <row r="12" spans="2:10" ht="21" customHeight="1" x14ac:dyDescent="0.25">
      <c r="B12" s="44" t="str">
        <f t="shared" si="0"/>
        <v/>
      </c>
      <c r="C12" s="43"/>
      <c r="D12" s="43"/>
      <c r="E12" s="43"/>
      <c r="F12" s="46"/>
      <c r="G12" s="46"/>
      <c r="H12" s="43"/>
      <c r="I12" s="43"/>
      <c r="J12" s="45" t="str">
        <f>IF(OR(C12="",D12=""),"",IF(COUNTIF($D$9:$D$88,D12)&gt;1,"⚠ N° en double",IF(AND(F12&lt;&gt;"",G12&lt;&gt;"",G12&lt;F12),"⚠ Fin avant début",IF(AND(F12&lt;&gt;"",IFERROR(F12&lt;INDEX('08 Phases'!$F$9:$F$38,MATCH(C12,'08 Phases'!$B$9:$B$38,0)),FALSE)),"◔ Début avant la phase",IF(AND(G12&lt;&gt;"",IFERROR(G12&gt;INDEX('08 Phases'!$G$9:$G$38,MATCH(C12,'08 Phases'!$B$9:$B$38,0)),FALSE)),"◔ Fin après la phase","✓")))))</f>
        <v/>
      </c>
    </row>
    <row r="13" spans="2:10" ht="21" customHeight="1" x14ac:dyDescent="0.25">
      <c r="B13" s="44" t="str">
        <f t="shared" si="0"/>
        <v/>
      </c>
      <c r="C13" s="43"/>
      <c r="D13" s="43"/>
      <c r="E13" s="43"/>
      <c r="F13" s="46"/>
      <c r="G13" s="46"/>
      <c r="H13" s="43"/>
      <c r="I13" s="43"/>
      <c r="J13" s="45" t="str">
        <f>IF(OR(C13="",D13=""),"",IF(COUNTIF($D$9:$D$88,D13)&gt;1,"⚠ N° en double",IF(AND(F13&lt;&gt;"",G13&lt;&gt;"",G13&lt;F13),"⚠ Fin avant début",IF(AND(F13&lt;&gt;"",IFERROR(F13&lt;INDEX('08 Phases'!$F$9:$F$38,MATCH(C13,'08 Phases'!$B$9:$B$38,0)),FALSE)),"◔ Début avant la phase",IF(AND(G13&lt;&gt;"",IFERROR(G13&gt;INDEX('08 Phases'!$G$9:$G$38,MATCH(C13,'08 Phases'!$B$9:$B$38,0)),FALSE)),"◔ Fin après la phase","✓")))))</f>
        <v/>
      </c>
    </row>
    <row r="14" spans="2:10" ht="21" customHeight="1" x14ac:dyDescent="0.25">
      <c r="B14" s="44" t="str">
        <f t="shared" si="0"/>
        <v/>
      </c>
      <c r="C14" s="43"/>
      <c r="D14" s="43"/>
      <c r="E14" s="43"/>
      <c r="F14" s="46"/>
      <c r="G14" s="46"/>
      <c r="H14" s="43"/>
      <c r="I14" s="43"/>
      <c r="J14" s="45" t="str">
        <f>IF(OR(C14="",D14=""),"",IF(COUNTIF($D$9:$D$88,D14)&gt;1,"⚠ N° en double",IF(AND(F14&lt;&gt;"",G14&lt;&gt;"",G14&lt;F14),"⚠ Fin avant début",IF(AND(F14&lt;&gt;"",IFERROR(F14&lt;INDEX('08 Phases'!$F$9:$F$38,MATCH(C14,'08 Phases'!$B$9:$B$38,0)),FALSE)),"◔ Début avant la phase",IF(AND(G14&lt;&gt;"",IFERROR(G14&gt;INDEX('08 Phases'!$G$9:$G$38,MATCH(C14,'08 Phases'!$B$9:$B$38,0)),FALSE)),"◔ Fin après la phase","✓")))))</f>
        <v/>
      </c>
    </row>
    <row r="15" spans="2:10" ht="21" customHeight="1" x14ac:dyDescent="0.25">
      <c r="B15" s="44" t="str">
        <f t="shared" si="0"/>
        <v/>
      </c>
      <c r="C15" s="43"/>
      <c r="D15" s="43"/>
      <c r="E15" s="43"/>
      <c r="F15" s="46"/>
      <c r="G15" s="46"/>
      <c r="H15" s="43"/>
      <c r="I15" s="43"/>
      <c r="J15" s="45" t="str">
        <f>IF(OR(C15="",D15=""),"",IF(COUNTIF($D$9:$D$88,D15)&gt;1,"⚠ N° en double",IF(AND(F15&lt;&gt;"",G15&lt;&gt;"",G15&lt;F15),"⚠ Fin avant début",IF(AND(F15&lt;&gt;"",IFERROR(F15&lt;INDEX('08 Phases'!$F$9:$F$38,MATCH(C15,'08 Phases'!$B$9:$B$38,0)),FALSE)),"◔ Début avant la phase",IF(AND(G15&lt;&gt;"",IFERROR(G15&gt;INDEX('08 Phases'!$G$9:$G$38,MATCH(C15,'08 Phases'!$B$9:$B$38,0)),FALSE)),"◔ Fin après la phase","✓")))))</f>
        <v/>
      </c>
    </row>
    <row r="16" spans="2:10" ht="21" customHeight="1" x14ac:dyDescent="0.25">
      <c r="B16" s="44" t="str">
        <f t="shared" si="0"/>
        <v/>
      </c>
      <c r="C16" s="43"/>
      <c r="D16" s="43"/>
      <c r="E16" s="43"/>
      <c r="F16" s="46"/>
      <c r="G16" s="46"/>
      <c r="H16" s="43"/>
      <c r="I16" s="43"/>
      <c r="J16" s="45" t="str">
        <f>IF(OR(C16="",D16=""),"",IF(COUNTIF($D$9:$D$88,D16)&gt;1,"⚠ N° en double",IF(AND(F16&lt;&gt;"",G16&lt;&gt;"",G16&lt;F16),"⚠ Fin avant début",IF(AND(F16&lt;&gt;"",IFERROR(F16&lt;INDEX('08 Phases'!$F$9:$F$38,MATCH(C16,'08 Phases'!$B$9:$B$38,0)),FALSE)),"◔ Début avant la phase",IF(AND(G16&lt;&gt;"",IFERROR(G16&gt;INDEX('08 Phases'!$G$9:$G$38,MATCH(C16,'08 Phases'!$B$9:$B$38,0)),FALSE)),"◔ Fin après la phase","✓")))))</f>
        <v/>
      </c>
    </row>
    <row r="17" spans="2:10" ht="21" customHeight="1" x14ac:dyDescent="0.25">
      <c r="B17" s="44" t="str">
        <f t="shared" si="0"/>
        <v/>
      </c>
      <c r="C17" s="43"/>
      <c r="D17" s="43"/>
      <c r="E17" s="43"/>
      <c r="F17" s="46"/>
      <c r="G17" s="46"/>
      <c r="H17" s="43"/>
      <c r="I17" s="43"/>
      <c r="J17" s="45" t="str">
        <f>IF(OR(C17="",D17=""),"",IF(COUNTIF($D$9:$D$88,D17)&gt;1,"⚠ N° en double",IF(AND(F17&lt;&gt;"",G17&lt;&gt;"",G17&lt;F17),"⚠ Fin avant début",IF(AND(F17&lt;&gt;"",IFERROR(F17&lt;INDEX('08 Phases'!$F$9:$F$38,MATCH(C17,'08 Phases'!$B$9:$B$38,0)),FALSE)),"◔ Début avant la phase",IF(AND(G17&lt;&gt;"",IFERROR(G17&gt;INDEX('08 Phases'!$G$9:$G$38,MATCH(C17,'08 Phases'!$B$9:$B$38,0)),FALSE)),"◔ Fin après la phase","✓")))))</f>
        <v/>
      </c>
    </row>
    <row r="18" spans="2:10" ht="21" customHeight="1" x14ac:dyDescent="0.25">
      <c r="B18" s="44" t="str">
        <f t="shared" si="0"/>
        <v/>
      </c>
      <c r="C18" s="43"/>
      <c r="D18" s="43"/>
      <c r="E18" s="43"/>
      <c r="F18" s="46"/>
      <c r="G18" s="46"/>
      <c r="H18" s="43"/>
      <c r="I18" s="43"/>
      <c r="J18" s="45" t="str">
        <f>IF(OR(C18="",D18=""),"",IF(COUNTIF($D$9:$D$88,D18)&gt;1,"⚠ N° en double",IF(AND(F18&lt;&gt;"",G18&lt;&gt;"",G18&lt;F18),"⚠ Fin avant début",IF(AND(F18&lt;&gt;"",IFERROR(F18&lt;INDEX('08 Phases'!$F$9:$F$38,MATCH(C18,'08 Phases'!$B$9:$B$38,0)),FALSE)),"◔ Début avant la phase",IF(AND(G18&lt;&gt;"",IFERROR(G18&gt;INDEX('08 Phases'!$G$9:$G$38,MATCH(C18,'08 Phases'!$B$9:$B$38,0)),FALSE)),"◔ Fin après la phase","✓")))))</f>
        <v/>
      </c>
    </row>
    <row r="19" spans="2:10" ht="21" customHeight="1" x14ac:dyDescent="0.25">
      <c r="B19" s="44" t="str">
        <f t="shared" si="0"/>
        <v/>
      </c>
      <c r="C19" s="43"/>
      <c r="D19" s="43"/>
      <c r="E19" s="43"/>
      <c r="F19" s="46"/>
      <c r="G19" s="46"/>
      <c r="H19" s="43"/>
      <c r="I19" s="43"/>
      <c r="J19" s="45" t="str">
        <f>IF(OR(C19="",D19=""),"",IF(COUNTIF($D$9:$D$88,D19)&gt;1,"⚠ N° en double",IF(AND(F19&lt;&gt;"",G19&lt;&gt;"",G19&lt;F19),"⚠ Fin avant début",IF(AND(F19&lt;&gt;"",IFERROR(F19&lt;INDEX('08 Phases'!$F$9:$F$38,MATCH(C19,'08 Phases'!$B$9:$B$38,0)),FALSE)),"◔ Début avant la phase",IF(AND(G19&lt;&gt;"",IFERROR(G19&gt;INDEX('08 Phases'!$G$9:$G$38,MATCH(C19,'08 Phases'!$B$9:$B$38,0)),FALSE)),"◔ Fin après la phase","✓")))))</f>
        <v/>
      </c>
    </row>
    <row r="20" spans="2:10" ht="21" customHeight="1" x14ac:dyDescent="0.25">
      <c r="B20" s="44" t="str">
        <f t="shared" si="0"/>
        <v/>
      </c>
      <c r="C20" s="43"/>
      <c r="D20" s="43"/>
      <c r="E20" s="43"/>
      <c r="F20" s="46"/>
      <c r="G20" s="46"/>
      <c r="H20" s="43"/>
      <c r="I20" s="43"/>
      <c r="J20" s="45" t="str">
        <f>IF(OR(C20="",D20=""),"",IF(COUNTIF($D$9:$D$88,D20)&gt;1,"⚠ N° en double",IF(AND(F20&lt;&gt;"",G20&lt;&gt;"",G20&lt;F20),"⚠ Fin avant début",IF(AND(F20&lt;&gt;"",IFERROR(F20&lt;INDEX('08 Phases'!$F$9:$F$38,MATCH(C20,'08 Phases'!$B$9:$B$38,0)),FALSE)),"◔ Début avant la phase",IF(AND(G20&lt;&gt;"",IFERROR(G20&gt;INDEX('08 Phases'!$G$9:$G$38,MATCH(C20,'08 Phases'!$B$9:$B$38,0)),FALSE)),"◔ Fin après la phase","✓")))))</f>
        <v/>
      </c>
    </row>
    <row r="21" spans="2:10" ht="21" customHeight="1" x14ac:dyDescent="0.25">
      <c r="B21" s="44" t="str">
        <f t="shared" si="0"/>
        <v/>
      </c>
      <c r="C21" s="43"/>
      <c r="D21" s="43"/>
      <c r="E21" s="43"/>
      <c r="F21" s="46"/>
      <c r="G21" s="46"/>
      <c r="H21" s="43"/>
      <c r="I21" s="43"/>
      <c r="J21" s="45" t="str">
        <f>IF(OR(C21="",D21=""),"",IF(COUNTIF($D$9:$D$88,D21)&gt;1,"⚠ N° en double",IF(AND(F21&lt;&gt;"",G21&lt;&gt;"",G21&lt;F21),"⚠ Fin avant début",IF(AND(F21&lt;&gt;"",IFERROR(F21&lt;INDEX('08 Phases'!$F$9:$F$38,MATCH(C21,'08 Phases'!$B$9:$B$38,0)),FALSE)),"◔ Début avant la phase",IF(AND(G21&lt;&gt;"",IFERROR(G21&gt;INDEX('08 Phases'!$G$9:$G$38,MATCH(C21,'08 Phases'!$B$9:$B$38,0)),FALSE)),"◔ Fin après la phase","✓")))))</f>
        <v/>
      </c>
    </row>
    <row r="22" spans="2:10" ht="21" customHeight="1" x14ac:dyDescent="0.25">
      <c r="B22" s="44" t="str">
        <f t="shared" si="0"/>
        <v/>
      </c>
      <c r="C22" s="43"/>
      <c r="D22" s="43"/>
      <c r="E22" s="43"/>
      <c r="F22" s="46"/>
      <c r="G22" s="46"/>
      <c r="H22" s="43"/>
      <c r="I22" s="43"/>
      <c r="J22" s="45" t="str">
        <f>IF(OR(C22="",D22=""),"",IF(COUNTIF($D$9:$D$88,D22)&gt;1,"⚠ N° en double",IF(AND(F22&lt;&gt;"",G22&lt;&gt;"",G22&lt;F22),"⚠ Fin avant début",IF(AND(F22&lt;&gt;"",IFERROR(F22&lt;INDEX('08 Phases'!$F$9:$F$38,MATCH(C22,'08 Phases'!$B$9:$B$38,0)),FALSE)),"◔ Début avant la phase",IF(AND(G22&lt;&gt;"",IFERROR(G22&gt;INDEX('08 Phases'!$G$9:$G$38,MATCH(C22,'08 Phases'!$B$9:$B$38,0)),FALSE)),"◔ Fin après la phase","✓")))))</f>
        <v/>
      </c>
    </row>
    <row r="23" spans="2:10" ht="21" customHeight="1" x14ac:dyDescent="0.25">
      <c r="B23" s="44" t="str">
        <f t="shared" si="0"/>
        <v/>
      </c>
      <c r="C23" s="43"/>
      <c r="D23" s="43"/>
      <c r="E23" s="43"/>
      <c r="F23" s="46"/>
      <c r="G23" s="46"/>
      <c r="H23" s="43"/>
      <c r="I23" s="43"/>
      <c r="J23" s="45" t="str">
        <f>IF(OR(C23="",D23=""),"",IF(COUNTIF($D$9:$D$88,D23)&gt;1,"⚠ N° en double",IF(AND(F23&lt;&gt;"",G23&lt;&gt;"",G23&lt;F23),"⚠ Fin avant début",IF(AND(F23&lt;&gt;"",IFERROR(F23&lt;INDEX('08 Phases'!$F$9:$F$38,MATCH(C23,'08 Phases'!$B$9:$B$38,0)),FALSE)),"◔ Début avant la phase",IF(AND(G23&lt;&gt;"",IFERROR(G23&gt;INDEX('08 Phases'!$G$9:$G$38,MATCH(C23,'08 Phases'!$B$9:$B$38,0)),FALSE)),"◔ Fin après la phase","✓")))))</f>
        <v/>
      </c>
    </row>
    <row r="24" spans="2:10" ht="21" customHeight="1" x14ac:dyDescent="0.25">
      <c r="B24" s="44" t="str">
        <f t="shared" si="0"/>
        <v/>
      </c>
      <c r="C24" s="43"/>
      <c r="D24" s="43"/>
      <c r="E24" s="43"/>
      <c r="F24" s="46"/>
      <c r="G24" s="46"/>
      <c r="H24" s="43"/>
      <c r="I24" s="43"/>
      <c r="J24" s="45" t="str">
        <f>IF(OR(C24="",D24=""),"",IF(COUNTIF($D$9:$D$88,D24)&gt;1,"⚠ N° en double",IF(AND(F24&lt;&gt;"",G24&lt;&gt;"",G24&lt;F24),"⚠ Fin avant début",IF(AND(F24&lt;&gt;"",IFERROR(F24&lt;INDEX('08 Phases'!$F$9:$F$38,MATCH(C24,'08 Phases'!$B$9:$B$38,0)),FALSE)),"◔ Début avant la phase",IF(AND(G24&lt;&gt;"",IFERROR(G24&gt;INDEX('08 Phases'!$G$9:$G$38,MATCH(C24,'08 Phases'!$B$9:$B$38,0)),FALSE)),"◔ Fin après la phase","✓")))))</f>
        <v/>
      </c>
    </row>
    <row r="25" spans="2:10" ht="21" customHeight="1" x14ac:dyDescent="0.25">
      <c r="B25" s="44" t="str">
        <f t="shared" si="0"/>
        <v/>
      </c>
      <c r="C25" s="43"/>
      <c r="D25" s="43"/>
      <c r="E25" s="43"/>
      <c r="F25" s="46"/>
      <c r="G25" s="46"/>
      <c r="H25" s="43"/>
      <c r="I25" s="43"/>
      <c r="J25" s="45" t="str">
        <f>IF(OR(C25="",D25=""),"",IF(COUNTIF($D$9:$D$88,D25)&gt;1,"⚠ N° en double",IF(AND(F25&lt;&gt;"",G25&lt;&gt;"",G25&lt;F25),"⚠ Fin avant début",IF(AND(F25&lt;&gt;"",IFERROR(F25&lt;INDEX('08 Phases'!$F$9:$F$38,MATCH(C25,'08 Phases'!$B$9:$B$38,0)),FALSE)),"◔ Début avant la phase",IF(AND(G25&lt;&gt;"",IFERROR(G25&gt;INDEX('08 Phases'!$G$9:$G$38,MATCH(C25,'08 Phases'!$B$9:$B$38,0)),FALSE)),"◔ Fin après la phase","✓")))))</f>
        <v/>
      </c>
    </row>
    <row r="26" spans="2:10" ht="21" customHeight="1" x14ac:dyDescent="0.25">
      <c r="B26" s="44" t="str">
        <f t="shared" si="0"/>
        <v/>
      </c>
      <c r="C26" s="43"/>
      <c r="D26" s="43"/>
      <c r="E26" s="43"/>
      <c r="F26" s="46"/>
      <c r="G26" s="46"/>
      <c r="H26" s="43"/>
      <c r="I26" s="43"/>
      <c r="J26" s="45" t="str">
        <f>IF(OR(C26="",D26=""),"",IF(COUNTIF($D$9:$D$88,D26)&gt;1,"⚠ N° en double",IF(AND(F26&lt;&gt;"",G26&lt;&gt;"",G26&lt;F26),"⚠ Fin avant début",IF(AND(F26&lt;&gt;"",IFERROR(F26&lt;INDEX('08 Phases'!$F$9:$F$38,MATCH(C26,'08 Phases'!$B$9:$B$38,0)),FALSE)),"◔ Début avant la phase",IF(AND(G26&lt;&gt;"",IFERROR(G26&gt;INDEX('08 Phases'!$G$9:$G$38,MATCH(C26,'08 Phases'!$B$9:$B$38,0)),FALSE)),"◔ Fin après la phase","✓")))))</f>
        <v/>
      </c>
    </row>
    <row r="27" spans="2:10" ht="21" customHeight="1" x14ac:dyDescent="0.25">
      <c r="B27" s="44" t="str">
        <f t="shared" si="0"/>
        <v/>
      </c>
      <c r="C27" s="43"/>
      <c r="D27" s="43"/>
      <c r="E27" s="43"/>
      <c r="F27" s="46"/>
      <c r="G27" s="46"/>
      <c r="H27" s="43"/>
      <c r="I27" s="43"/>
      <c r="J27" s="45" t="str">
        <f>IF(OR(C27="",D27=""),"",IF(COUNTIF($D$9:$D$88,D27)&gt;1,"⚠ N° en double",IF(AND(F27&lt;&gt;"",G27&lt;&gt;"",G27&lt;F27),"⚠ Fin avant début",IF(AND(F27&lt;&gt;"",IFERROR(F27&lt;INDEX('08 Phases'!$F$9:$F$38,MATCH(C27,'08 Phases'!$B$9:$B$38,0)),FALSE)),"◔ Début avant la phase",IF(AND(G27&lt;&gt;"",IFERROR(G27&gt;INDEX('08 Phases'!$G$9:$G$38,MATCH(C27,'08 Phases'!$B$9:$B$38,0)),FALSE)),"◔ Fin après la phase","✓")))))</f>
        <v/>
      </c>
    </row>
    <row r="28" spans="2:10" ht="21" customHeight="1" x14ac:dyDescent="0.25">
      <c r="B28" s="44" t="str">
        <f t="shared" si="0"/>
        <v/>
      </c>
      <c r="C28" s="43"/>
      <c r="D28" s="43"/>
      <c r="E28" s="43"/>
      <c r="F28" s="46"/>
      <c r="G28" s="46"/>
      <c r="H28" s="43"/>
      <c r="I28" s="43"/>
      <c r="J28" s="45" t="str">
        <f>IF(OR(C28="",D28=""),"",IF(COUNTIF($D$9:$D$88,D28)&gt;1,"⚠ N° en double",IF(AND(F28&lt;&gt;"",G28&lt;&gt;"",G28&lt;F28),"⚠ Fin avant début",IF(AND(F28&lt;&gt;"",IFERROR(F28&lt;INDEX('08 Phases'!$F$9:$F$38,MATCH(C28,'08 Phases'!$B$9:$B$38,0)),FALSE)),"◔ Début avant la phase",IF(AND(G28&lt;&gt;"",IFERROR(G28&gt;INDEX('08 Phases'!$G$9:$G$38,MATCH(C28,'08 Phases'!$B$9:$B$38,0)),FALSE)),"◔ Fin après la phase","✓")))))</f>
        <v/>
      </c>
    </row>
    <row r="29" spans="2:10" ht="21" customHeight="1" x14ac:dyDescent="0.25">
      <c r="B29" s="44" t="str">
        <f t="shared" si="0"/>
        <v/>
      </c>
      <c r="C29" s="43"/>
      <c r="D29" s="43"/>
      <c r="E29" s="43"/>
      <c r="F29" s="46"/>
      <c r="G29" s="46"/>
      <c r="H29" s="43"/>
      <c r="I29" s="43"/>
      <c r="J29" s="45" t="str">
        <f>IF(OR(C29="",D29=""),"",IF(COUNTIF($D$9:$D$88,D29)&gt;1,"⚠ N° en double",IF(AND(F29&lt;&gt;"",G29&lt;&gt;"",G29&lt;F29),"⚠ Fin avant début",IF(AND(F29&lt;&gt;"",IFERROR(F29&lt;INDEX('08 Phases'!$F$9:$F$38,MATCH(C29,'08 Phases'!$B$9:$B$38,0)),FALSE)),"◔ Début avant la phase",IF(AND(G29&lt;&gt;"",IFERROR(G29&gt;INDEX('08 Phases'!$G$9:$G$38,MATCH(C29,'08 Phases'!$B$9:$B$38,0)),FALSE)),"◔ Fin après la phase","✓")))))</f>
        <v/>
      </c>
    </row>
    <row r="30" spans="2:10" ht="21" customHeight="1" x14ac:dyDescent="0.25">
      <c r="B30" s="44" t="str">
        <f t="shared" si="0"/>
        <v/>
      </c>
      <c r="C30" s="43"/>
      <c r="D30" s="43"/>
      <c r="E30" s="43"/>
      <c r="F30" s="46"/>
      <c r="G30" s="46"/>
      <c r="H30" s="43"/>
      <c r="I30" s="43"/>
      <c r="J30" s="45" t="str">
        <f>IF(OR(C30="",D30=""),"",IF(COUNTIF($D$9:$D$88,D30)&gt;1,"⚠ N° en double",IF(AND(F30&lt;&gt;"",G30&lt;&gt;"",G30&lt;F30),"⚠ Fin avant début",IF(AND(F30&lt;&gt;"",IFERROR(F30&lt;INDEX('08 Phases'!$F$9:$F$38,MATCH(C30,'08 Phases'!$B$9:$B$38,0)),FALSE)),"◔ Début avant la phase",IF(AND(G30&lt;&gt;"",IFERROR(G30&gt;INDEX('08 Phases'!$G$9:$G$38,MATCH(C30,'08 Phases'!$B$9:$B$38,0)),FALSE)),"◔ Fin après la phase","✓")))))</f>
        <v/>
      </c>
    </row>
    <row r="31" spans="2:10" ht="21" customHeight="1" x14ac:dyDescent="0.25">
      <c r="B31" s="44" t="str">
        <f t="shared" si="0"/>
        <v/>
      </c>
      <c r="C31" s="43"/>
      <c r="D31" s="43"/>
      <c r="E31" s="43"/>
      <c r="F31" s="46"/>
      <c r="G31" s="46"/>
      <c r="H31" s="43"/>
      <c r="I31" s="43"/>
      <c r="J31" s="45" t="str">
        <f>IF(OR(C31="",D31=""),"",IF(COUNTIF($D$9:$D$88,D31)&gt;1,"⚠ N° en double",IF(AND(F31&lt;&gt;"",G31&lt;&gt;"",G31&lt;F31),"⚠ Fin avant début",IF(AND(F31&lt;&gt;"",IFERROR(F31&lt;INDEX('08 Phases'!$F$9:$F$38,MATCH(C31,'08 Phases'!$B$9:$B$38,0)),FALSE)),"◔ Début avant la phase",IF(AND(G31&lt;&gt;"",IFERROR(G31&gt;INDEX('08 Phases'!$G$9:$G$38,MATCH(C31,'08 Phases'!$B$9:$B$38,0)),FALSE)),"◔ Fin après la phase","✓")))))</f>
        <v/>
      </c>
    </row>
    <row r="32" spans="2:10" ht="21" customHeight="1" x14ac:dyDescent="0.25">
      <c r="B32" s="44" t="str">
        <f t="shared" si="0"/>
        <v/>
      </c>
      <c r="C32" s="43"/>
      <c r="D32" s="43"/>
      <c r="E32" s="43"/>
      <c r="F32" s="46"/>
      <c r="G32" s="46"/>
      <c r="H32" s="43"/>
      <c r="I32" s="43"/>
      <c r="J32" s="45" t="str">
        <f>IF(OR(C32="",D32=""),"",IF(COUNTIF($D$9:$D$88,D32)&gt;1,"⚠ N° en double",IF(AND(F32&lt;&gt;"",G32&lt;&gt;"",G32&lt;F32),"⚠ Fin avant début",IF(AND(F32&lt;&gt;"",IFERROR(F32&lt;INDEX('08 Phases'!$F$9:$F$38,MATCH(C32,'08 Phases'!$B$9:$B$38,0)),FALSE)),"◔ Début avant la phase",IF(AND(G32&lt;&gt;"",IFERROR(G32&gt;INDEX('08 Phases'!$G$9:$G$38,MATCH(C32,'08 Phases'!$B$9:$B$38,0)),FALSE)),"◔ Fin après la phase","✓")))))</f>
        <v/>
      </c>
    </row>
    <row r="33" spans="2:10" ht="21" customHeight="1" x14ac:dyDescent="0.25">
      <c r="B33" s="44" t="str">
        <f t="shared" si="0"/>
        <v/>
      </c>
      <c r="C33" s="43"/>
      <c r="D33" s="43"/>
      <c r="E33" s="43"/>
      <c r="F33" s="46"/>
      <c r="G33" s="46"/>
      <c r="H33" s="43"/>
      <c r="I33" s="43"/>
      <c r="J33" s="45" t="str">
        <f>IF(OR(C33="",D33=""),"",IF(COUNTIF($D$9:$D$88,D33)&gt;1,"⚠ N° en double",IF(AND(F33&lt;&gt;"",G33&lt;&gt;"",G33&lt;F33),"⚠ Fin avant début",IF(AND(F33&lt;&gt;"",IFERROR(F33&lt;INDEX('08 Phases'!$F$9:$F$38,MATCH(C33,'08 Phases'!$B$9:$B$38,0)),FALSE)),"◔ Début avant la phase",IF(AND(G33&lt;&gt;"",IFERROR(G33&gt;INDEX('08 Phases'!$G$9:$G$38,MATCH(C33,'08 Phases'!$B$9:$B$38,0)),FALSE)),"◔ Fin après la phase","✓")))))</f>
        <v/>
      </c>
    </row>
    <row r="34" spans="2:10" ht="21" customHeight="1" x14ac:dyDescent="0.25">
      <c r="B34" s="44" t="str">
        <f t="shared" si="0"/>
        <v/>
      </c>
      <c r="C34" s="43"/>
      <c r="D34" s="43"/>
      <c r="E34" s="43"/>
      <c r="F34" s="46"/>
      <c r="G34" s="46"/>
      <c r="H34" s="43"/>
      <c r="I34" s="43"/>
      <c r="J34" s="45" t="str">
        <f>IF(OR(C34="",D34=""),"",IF(COUNTIF($D$9:$D$88,D34)&gt;1,"⚠ N° en double",IF(AND(F34&lt;&gt;"",G34&lt;&gt;"",G34&lt;F34),"⚠ Fin avant début",IF(AND(F34&lt;&gt;"",IFERROR(F34&lt;INDEX('08 Phases'!$F$9:$F$38,MATCH(C34,'08 Phases'!$B$9:$B$38,0)),FALSE)),"◔ Début avant la phase",IF(AND(G34&lt;&gt;"",IFERROR(G34&gt;INDEX('08 Phases'!$G$9:$G$38,MATCH(C34,'08 Phases'!$B$9:$B$38,0)),FALSE)),"◔ Fin après la phase","✓")))))</f>
        <v/>
      </c>
    </row>
    <row r="35" spans="2:10" ht="21" customHeight="1" x14ac:dyDescent="0.25">
      <c r="B35" s="44" t="str">
        <f t="shared" si="0"/>
        <v/>
      </c>
      <c r="C35" s="43"/>
      <c r="D35" s="43"/>
      <c r="E35" s="43"/>
      <c r="F35" s="46"/>
      <c r="G35" s="46"/>
      <c r="H35" s="43"/>
      <c r="I35" s="43"/>
      <c r="J35" s="45" t="str">
        <f>IF(OR(C35="",D35=""),"",IF(COUNTIF($D$9:$D$88,D35)&gt;1,"⚠ N° en double",IF(AND(F35&lt;&gt;"",G35&lt;&gt;"",G35&lt;F35),"⚠ Fin avant début",IF(AND(F35&lt;&gt;"",IFERROR(F35&lt;INDEX('08 Phases'!$F$9:$F$38,MATCH(C35,'08 Phases'!$B$9:$B$38,0)),FALSE)),"◔ Début avant la phase",IF(AND(G35&lt;&gt;"",IFERROR(G35&gt;INDEX('08 Phases'!$G$9:$G$38,MATCH(C35,'08 Phases'!$B$9:$B$38,0)),FALSE)),"◔ Fin après la phase","✓")))))</f>
        <v/>
      </c>
    </row>
    <row r="36" spans="2:10" ht="21" customHeight="1" x14ac:dyDescent="0.25">
      <c r="B36" s="44" t="str">
        <f t="shared" si="0"/>
        <v/>
      </c>
      <c r="C36" s="43"/>
      <c r="D36" s="43"/>
      <c r="E36" s="43"/>
      <c r="F36" s="46"/>
      <c r="G36" s="46"/>
      <c r="H36" s="43"/>
      <c r="I36" s="43"/>
      <c r="J36" s="45" t="str">
        <f>IF(OR(C36="",D36=""),"",IF(COUNTIF($D$9:$D$88,D36)&gt;1,"⚠ N° en double",IF(AND(F36&lt;&gt;"",G36&lt;&gt;"",G36&lt;F36),"⚠ Fin avant début",IF(AND(F36&lt;&gt;"",IFERROR(F36&lt;INDEX('08 Phases'!$F$9:$F$38,MATCH(C36,'08 Phases'!$B$9:$B$38,0)),FALSE)),"◔ Début avant la phase",IF(AND(G36&lt;&gt;"",IFERROR(G36&gt;INDEX('08 Phases'!$G$9:$G$38,MATCH(C36,'08 Phases'!$B$9:$B$38,0)),FALSE)),"◔ Fin après la phase","✓")))))</f>
        <v/>
      </c>
    </row>
    <row r="37" spans="2:10" ht="21" customHeight="1" x14ac:dyDescent="0.25">
      <c r="B37" s="44" t="str">
        <f t="shared" si="0"/>
        <v/>
      </c>
      <c r="C37" s="43"/>
      <c r="D37" s="43"/>
      <c r="E37" s="43"/>
      <c r="F37" s="46"/>
      <c r="G37" s="46"/>
      <c r="H37" s="43"/>
      <c r="I37" s="43"/>
      <c r="J37" s="45" t="str">
        <f>IF(OR(C37="",D37=""),"",IF(COUNTIF($D$9:$D$88,D37)&gt;1,"⚠ N° en double",IF(AND(F37&lt;&gt;"",G37&lt;&gt;"",G37&lt;F37),"⚠ Fin avant début",IF(AND(F37&lt;&gt;"",IFERROR(F37&lt;INDEX('08 Phases'!$F$9:$F$38,MATCH(C37,'08 Phases'!$B$9:$B$38,0)),FALSE)),"◔ Début avant la phase",IF(AND(G37&lt;&gt;"",IFERROR(G37&gt;INDEX('08 Phases'!$G$9:$G$38,MATCH(C37,'08 Phases'!$B$9:$B$38,0)),FALSE)),"◔ Fin après la phase","✓")))))</f>
        <v/>
      </c>
    </row>
    <row r="38" spans="2:10" ht="21" customHeight="1" x14ac:dyDescent="0.25">
      <c r="B38" s="44" t="str">
        <f t="shared" si="0"/>
        <v/>
      </c>
      <c r="C38" s="43"/>
      <c r="D38" s="43"/>
      <c r="E38" s="43"/>
      <c r="F38" s="46"/>
      <c r="G38" s="46"/>
      <c r="H38" s="43"/>
      <c r="I38" s="43"/>
      <c r="J38" s="45" t="str">
        <f>IF(OR(C38="",D38=""),"",IF(COUNTIF($D$9:$D$88,D38)&gt;1,"⚠ N° en double",IF(AND(F38&lt;&gt;"",G38&lt;&gt;"",G38&lt;F38),"⚠ Fin avant début",IF(AND(F38&lt;&gt;"",IFERROR(F38&lt;INDEX('08 Phases'!$F$9:$F$38,MATCH(C38,'08 Phases'!$B$9:$B$38,0)),FALSE)),"◔ Début avant la phase",IF(AND(G38&lt;&gt;"",IFERROR(G38&gt;INDEX('08 Phases'!$G$9:$G$38,MATCH(C38,'08 Phases'!$B$9:$B$38,0)),FALSE)),"◔ Fin après la phase","✓")))))</f>
        <v/>
      </c>
    </row>
    <row r="39" spans="2:10" ht="21" customHeight="1" x14ac:dyDescent="0.25">
      <c r="B39" s="44" t="str">
        <f t="shared" si="0"/>
        <v/>
      </c>
      <c r="C39" s="43"/>
      <c r="D39" s="43"/>
      <c r="E39" s="43"/>
      <c r="F39" s="46"/>
      <c r="G39" s="46"/>
      <c r="H39" s="43"/>
      <c r="I39" s="43"/>
      <c r="J39" s="45" t="str">
        <f>IF(OR(C39="",D39=""),"",IF(COUNTIF($D$9:$D$88,D39)&gt;1,"⚠ N° en double",IF(AND(F39&lt;&gt;"",G39&lt;&gt;"",G39&lt;F39),"⚠ Fin avant début",IF(AND(F39&lt;&gt;"",IFERROR(F39&lt;INDEX('08 Phases'!$F$9:$F$38,MATCH(C39,'08 Phases'!$B$9:$B$38,0)),FALSE)),"◔ Début avant la phase",IF(AND(G39&lt;&gt;"",IFERROR(G39&gt;INDEX('08 Phases'!$G$9:$G$38,MATCH(C39,'08 Phases'!$B$9:$B$38,0)),FALSE)),"◔ Fin après la phase","✓")))))</f>
        <v/>
      </c>
    </row>
    <row r="40" spans="2:10" ht="21" customHeight="1" x14ac:dyDescent="0.25">
      <c r="B40" s="44" t="str">
        <f t="shared" si="0"/>
        <v/>
      </c>
      <c r="C40" s="43"/>
      <c r="D40" s="43"/>
      <c r="E40" s="43"/>
      <c r="F40" s="46"/>
      <c r="G40" s="46"/>
      <c r="H40" s="43"/>
      <c r="I40" s="43"/>
      <c r="J40" s="45" t="str">
        <f>IF(OR(C40="",D40=""),"",IF(COUNTIF($D$9:$D$88,D40)&gt;1,"⚠ N° en double",IF(AND(F40&lt;&gt;"",G40&lt;&gt;"",G40&lt;F40),"⚠ Fin avant début",IF(AND(F40&lt;&gt;"",IFERROR(F40&lt;INDEX('08 Phases'!$F$9:$F$38,MATCH(C40,'08 Phases'!$B$9:$B$38,0)),FALSE)),"◔ Début avant la phase",IF(AND(G40&lt;&gt;"",IFERROR(G40&gt;INDEX('08 Phases'!$G$9:$G$38,MATCH(C40,'08 Phases'!$B$9:$B$38,0)),FALSE)),"◔ Fin après la phase","✓")))))</f>
        <v/>
      </c>
    </row>
    <row r="41" spans="2:10" ht="21" customHeight="1" x14ac:dyDescent="0.25">
      <c r="B41" s="44" t="str">
        <f t="shared" ref="B41:B72" si="1">IF(D41="","",D41&amp;" · "&amp;E41)</f>
        <v/>
      </c>
      <c r="C41" s="43"/>
      <c r="D41" s="43"/>
      <c r="E41" s="43"/>
      <c r="F41" s="46"/>
      <c r="G41" s="46"/>
      <c r="H41" s="43"/>
      <c r="I41" s="43"/>
      <c r="J41" s="45" t="str">
        <f>IF(OR(C41="",D41=""),"",IF(COUNTIF($D$9:$D$88,D41)&gt;1,"⚠ N° en double",IF(AND(F41&lt;&gt;"",G41&lt;&gt;"",G41&lt;F41),"⚠ Fin avant début",IF(AND(F41&lt;&gt;"",IFERROR(F41&lt;INDEX('08 Phases'!$F$9:$F$38,MATCH(C41,'08 Phases'!$B$9:$B$38,0)),FALSE)),"◔ Début avant la phase",IF(AND(G41&lt;&gt;"",IFERROR(G41&gt;INDEX('08 Phases'!$G$9:$G$38,MATCH(C41,'08 Phases'!$B$9:$B$38,0)),FALSE)),"◔ Fin après la phase","✓")))))</f>
        <v/>
      </c>
    </row>
    <row r="42" spans="2:10" ht="21" customHeight="1" x14ac:dyDescent="0.25">
      <c r="B42" s="44" t="str">
        <f t="shared" si="1"/>
        <v/>
      </c>
      <c r="C42" s="43"/>
      <c r="D42" s="43"/>
      <c r="E42" s="43"/>
      <c r="F42" s="46"/>
      <c r="G42" s="46"/>
      <c r="H42" s="43"/>
      <c r="I42" s="43"/>
      <c r="J42" s="45" t="str">
        <f>IF(OR(C42="",D42=""),"",IF(COUNTIF($D$9:$D$88,D42)&gt;1,"⚠ N° en double",IF(AND(F42&lt;&gt;"",G42&lt;&gt;"",G42&lt;F42),"⚠ Fin avant début",IF(AND(F42&lt;&gt;"",IFERROR(F42&lt;INDEX('08 Phases'!$F$9:$F$38,MATCH(C42,'08 Phases'!$B$9:$B$38,0)),FALSE)),"◔ Début avant la phase",IF(AND(G42&lt;&gt;"",IFERROR(G42&gt;INDEX('08 Phases'!$G$9:$G$38,MATCH(C42,'08 Phases'!$B$9:$B$38,0)),FALSE)),"◔ Fin après la phase","✓")))))</f>
        <v/>
      </c>
    </row>
    <row r="43" spans="2:10" ht="21" customHeight="1" x14ac:dyDescent="0.25">
      <c r="B43" s="44" t="str">
        <f t="shared" si="1"/>
        <v/>
      </c>
      <c r="C43" s="43"/>
      <c r="D43" s="43"/>
      <c r="E43" s="43"/>
      <c r="F43" s="46"/>
      <c r="G43" s="46"/>
      <c r="H43" s="43"/>
      <c r="I43" s="43"/>
      <c r="J43" s="45" t="str">
        <f>IF(OR(C43="",D43=""),"",IF(COUNTIF($D$9:$D$88,D43)&gt;1,"⚠ N° en double",IF(AND(F43&lt;&gt;"",G43&lt;&gt;"",G43&lt;F43),"⚠ Fin avant début",IF(AND(F43&lt;&gt;"",IFERROR(F43&lt;INDEX('08 Phases'!$F$9:$F$38,MATCH(C43,'08 Phases'!$B$9:$B$38,0)),FALSE)),"◔ Début avant la phase",IF(AND(G43&lt;&gt;"",IFERROR(G43&gt;INDEX('08 Phases'!$G$9:$G$38,MATCH(C43,'08 Phases'!$B$9:$B$38,0)),FALSE)),"◔ Fin après la phase","✓")))))</f>
        <v/>
      </c>
    </row>
    <row r="44" spans="2:10" ht="21" customHeight="1" x14ac:dyDescent="0.25">
      <c r="B44" s="44" t="str">
        <f t="shared" si="1"/>
        <v/>
      </c>
      <c r="C44" s="43"/>
      <c r="D44" s="43"/>
      <c r="E44" s="43"/>
      <c r="F44" s="46"/>
      <c r="G44" s="46"/>
      <c r="H44" s="43"/>
      <c r="I44" s="43"/>
      <c r="J44" s="45" t="str">
        <f>IF(OR(C44="",D44=""),"",IF(COUNTIF($D$9:$D$88,D44)&gt;1,"⚠ N° en double",IF(AND(F44&lt;&gt;"",G44&lt;&gt;"",G44&lt;F44),"⚠ Fin avant début",IF(AND(F44&lt;&gt;"",IFERROR(F44&lt;INDEX('08 Phases'!$F$9:$F$38,MATCH(C44,'08 Phases'!$B$9:$B$38,0)),FALSE)),"◔ Début avant la phase",IF(AND(G44&lt;&gt;"",IFERROR(G44&gt;INDEX('08 Phases'!$G$9:$G$38,MATCH(C44,'08 Phases'!$B$9:$B$38,0)),FALSE)),"◔ Fin après la phase","✓")))))</f>
        <v/>
      </c>
    </row>
    <row r="45" spans="2:10" ht="21" customHeight="1" x14ac:dyDescent="0.25">
      <c r="B45" s="44" t="str">
        <f t="shared" si="1"/>
        <v/>
      </c>
      <c r="C45" s="43"/>
      <c r="D45" s="43"/>
      <c r="E45" s="43"/>
      <c r="F45" s="46"/>
      <c r="G45" s="46"/>
      <c r="H45" s="43"/>
      <c r="I45" s="43"/>
      <c r="J45" s="45" t="str">
        <f>IF(OR(C45="",D45=""),"",IF(COUNTIF($D$9:$D$88,D45)&gt;1,"⚠ N° en double",IF(AND(F45&lt;&gt;"",G45&lt;&gt;"",G45&lt;F45),"⚠ Fin avant début",IF(AND(F45&lt;&gt;"",IFERROR(F45&lt;INDEX('08 Phases'!$F$9:$F$38,MATCH(C45,'08 Phases'!$B$9:$B$38,0)),FALSE)),"◔ Début avant la phase",IF(AND(G45&lt;&gt;"",IFERROR(G45&gt;INDEX('08 Phases'!$G$9:$G$38,MATCH(C45,'08 Phases'!$B$9:$B$38,0)),FALSE)),"◔ Fin après la phase","✓")))))</f>
        <v/>
      </c>
    </row>
    <row r="46" spans="2:10" ht="21" customHeight="1" x14ac:dyDescent="0.25">
      <c r="B46" s="44" t="str">
        <f t="shared" si="1"/>
        <v/>
      </c>
      <c r="C46" s="43"/>
      <c r="D46" s="43"/>
      <c r="E46" s="43"/>
      <c r="F46" s="46"/>
      <c r="G46" s="46"/>
      <c r="H46" s="43"/>
      <c r="I46" s="43"/>
      <c r="J46" s="45" t="str">
        <f>IF(OR(C46="",D46=""),"",IF(COUNTIF($D$9:$D$88,D46)&gt;1,"⚠ N° en double",IF(AND(F46&lt;&gt;"",G46&lt;&gt;"",G46&lt;F46),"⚠ Fin avant début",IF(AND(F46&lt;&gt;"",IFERROR(F46&lt;INDEX('08 Phases'!$F$9:$F$38,MATCH(C46,'08 Phases'!$B$9:$B$38,0)),FALSE)),"◔ Début avant la phase",IF(AND(G46&lt;&gt;"",IFERROR(G46&gt;INDEX('08 Phases'!$G$9:$G$38,MATCH(C46,'08 Phases'!$B$9:$B$38,0)),FALSE)),"◔ Fin après la phase","✓")))))</f>
        <v/>
      </c>
    </row>
    <row r="47" spans="2:10" ht="21" customHeight="1" x14ac:dyDescent="0.25">
      <c r="B47" s="44" t="str">
        <f t="shared" si="1"/>
        <v/>
      </c>
      <c r="C47" s="43"/>
      <c r="D47" s="43"/>
      <c r="E47" s="43"/>
      <c r="F47" s="46"/>
      <c r="G47" s="46"/>
      <c r="H47" s="43"/>
      <c r="I47" s="43"/>
      <c r="J47" s="45" t="str">
        <f>IF(OR(C47="",D47=""),"",IF(COUNTIF($D$9:$D$88,D47)&gt;1,"⚠ N° en double",IF(AND(F47&lt;&gt;"",G47&lt;&gt;"",G47&lt;F47),"⚠ Fin avant début",IF(AND(F47&lt;&gt;"",IFERROR(F47&lt;INDEX('08 Phases'!$F$9:$F$38,MATCH(C47,'08 Phases'!$B$9:$B$38,0)),FALSE)),"◔ Début avant la phase",IF(AND(G47&lt;&gt;"",IFERROR(G47&gt;INDEX('08 Phases'!$G$9:$G$38,MATCH(C47,'08 Phases'!$B$9:$B$38,0)),FALSE)),"◔ Fin après la phase","✓")))))</f>
        <v/>
      </c>
    </row>
    <row r="48" spans="2:10" ht="21" customHeight="1" x14ac:dyDescent="0.25">
      <c r="B48" s="44" t="str">
        <f t="shared" si="1"/>
        <v/>
      </c>
      <c r="C48" s="43"/>
      <c r="D48" s="43"/>
      <c r="E48" s="43"/>
      <c r="F48" s="46"/>
      <c r="G48" s="46"/>
      <c r="H48" s="43"/>
      <c r="I48" s="43"/>
      <c r="J48" s="45" t="str">
        <f>IF(OR(C48="",D48=""),"",IF(COUNTIF($D$9:$D$88,D48)&gt;1,"⚠ N° en double",IF(AND(F48&lt;&gt;"",G48&lt;&gt;"",G48&lt;F48),"⚠ Fin avant début",IF(AND(F48&lt;&gt;"",IFERROR(F48&lt;INDEX('08 Phases'!$F$9:$F$38,MATCH(C48,'08 Phases'!$B$9:$B$38,0)),FALSE)),"◔ Début avant la phase",IF(AND(G48&lt;&gt;"",IFERROR(G48&gt;INDEX('08 Phases'!$G$9:$G$38,MATCH(C48,'08 Phases'!$B$9:$B$38,0)),FALSE)),"◔ Fin après la phase","✓")))))</f>
        <v/>
      </c>
    </row>
    <row r="49" spans="2:10" ht="21" customHeight="1" x14ac:dyDescent="0.25">
      <c r="B49" s="44" t="str">
        <f t="shared" si="1"/>
        <v/>
      </c>
      <c r="C49" s="43"/>
      <c r="D49" s="43"/>
      <c r="E49" s="43"/>
      <c r="F49" s="46"/>
      <c r="G49" s="46"/>
      <c r="H49" s="43"/>
      <c r="I49" s="43"/>
      <c r="J49" s="45" t="str">
        <f>IF(OR(C49="",D49=""),"",IF(COUNTIF($D$9:$D$88,D49)&gt;1,"⚠ N° en double",IF(AND(F49&lt;&gt;"",G49&lt;&gt;"",G49&lt;F49),"⚠ Fin avant début",IF(AND(F49&lt;&gt;"",IFERROR(F49&lt;INDEX('08 Phases'!$F$9:$F$38,MATCH(C49,'08 Phases'!$B$9:$B$38,0)),FALSE)),"◔ Début avant la phase",IF(AND(G49&lt;&gt;"",IFERROR(G49&gt;INDEX('08 Phases'!$G$9:$G$38,MATCH(C49,'08 Phases'!$B$9:$B$38,0)),FALSE)),"◔ Fin après la phase","✓")))))</f>
        <v/>
      </c>
    </row>
    <row r="50" spans="2:10" ht="21" customHeight="1" x14ac:dyDescent="0.25">
      <c r="B50" s="44" t="str">
        <f t="shared" si="1"/>
        <v/>
      </c>
      <c r="C50" s="43"/>
      <c r="D50" s="43"/>
      <c r="E50" s="43"/>
      <c r="F50" s="46"/>
      <c r="G50" s="46"/>
      <c r="H50" s="43"/>
      <c r="I50" s="43"/>
      <c r="J50" s="45" t="str">
        <f>IF(OR(C50="",D50=""),"",IF(COUNTIF($D$9:$D$88,D50)&gt;1,"⚠ N° en double",IF(AND(F50&lt;&gt;"",G50&lt;&gt;"",G50&lt;F50),"⚠ Fin avant début",IF(AND(F50&lt;&gt;"",IFERROR(F50&lt;INDEX('08 Phases'!$F$9:$F$38,MATCH(C50,'08 Phases'!$B$9:$B$38,0)),FALSE)),"◔ Début avant la phase",IF(AND(G50&lt;&gt;"",IFERROR(G50&gt;INDEX('08 Phases'!$G$9:$G$38,MATCH(C50,'08 Phases'!$B$9:$B$38,0)),FALSE)),"◔ Fin après la phase","✓")))))</f>
        <v/>
      </c>
    </row>
    <row r="51" spans="2:10" ht="21" customHeight="1" x14ac:dyDescent="0.25">
      <c r="B51" s="44" t="str">
        <f t="shared" si="1"/>
        <v/>
      </c>
      <c r="C51" s="43"/>
      <c r="D51" s="43"/>
      <c r="E51" s="43"/>
      <c r="F51" s="46"/>
      <c r="G51" s="46"/>
      <c r="H51" s="43"/>
      <c r="I51" s="43"/>
      <c r="J51" s="45" t="str">
        <f>IF(OR(C51="",D51=""),"",IF(COUNTIF($D$9:$D$88,D51)&gt;1,"⚠ N° en double",IF(AND(F51&lt;&gt;"",G51&lt;&gt;"",G51&lt;F51),"⚠ Fin avant début",IF(AND(F51&lt;&gt;"",IFERROR(F51&lt;INDEX('08 Phases'!$F$9:$F$38,MATCH(C51,'08 Phases'!$B$9:$B$38,0)),FALSE)),"◔ Début avant la phase",IF(AND(G51&lt;&gt;"",IFERROR(G51&gt;INDEX('08 Phases'!$G$9:$G$38,MATCH(C51,'08 Phases'!$B$9:$B$38,0)),FALSE)),"◔ Fin après la phase","✓")))))</f>
        <v/>
      </c>
    </row>
    <row r="52" spans="2:10" ht="21" customHeight="1" x14ac:dyDescent="0.25">
      <c r="B52" s="44" t="str">
        <f t="shared" si="1"/>
        <v/>
      </c>
      <c r="C52" s="43"/>
      <c r="D52" s="43"/>
      <c r="E52" s="43"/>
      <c r="F52" s="46"/>
      <c r="G52" s="46"/>
      <c r="H52" s="43"/>
      <c r="I52" s="43"/>
      <c r="J52" s="45" t="str">
        <f>IF(OR(C52="",D52=""),"",IF(COUNTIF($D$9:$D$88,D52)&gt;1,"⚠ N° en double",IF(AND(F52&lt;&gt;"",G52&lt;&gt;"",G52&lt;F52),"⚠ Fin avant début",IF(AND(F52&lt;&gt;"",IFERROR(F52&lt;INDEX('08 Phases'!$F$9:$F$38,MATCH(C52,'08 Phases'!$B$9:$B$38,0)),FALSE)),"◔ Début avant la phase",IF(AND(G52&lt;&gt;"",IFERROR(G52&gt;INDEX('08 Phases'!$G$9:$G$38,MATCH(C52,'08 Phases'!$B$9:$B$38,0)),FALSE)),"◔ Fin après la phase","✓")))))</f>
        <v/>
      </c>
    </row>
    <row r="53" spans="2:10" ht="21" customHeight="1" x14ac:dyDescent="0.25">
      <c r="B53" s="44" t="str">
        <f t="shared" si="1"/>
        <v/>
      </c>
      <c r="C53" s="43"/>
      <c r="D53" s="43"/>
      <c r="E53" s="43"/>
      <c r="F53" s="46"/>
      <c r="G53" s="46"/>
      <c r="H53" s="43"/>
      <c r="I53" s="43"/>
      <c r="J53" s="45" t="str">
        <f>IF(OR(C53="",D53=""),"",IF(COUNTIF($D$9:$D$88,D53)&gt;1,"⚠ N° en double",IF(AND(F53&lt;&gt;"",G53&lt;&gt;"",G53&lt;F53),"⚠ Fin avant début",IF(AND(F53&lt;&gt;"",IFERROR(F53&lt;INDEX('08 Phases'!$F$9:$F$38,MATCH(C53,'08 Phases'!$B$9:$B$38,0)),FALSE)),"◔ Début avant la phase",IF(AND(G53&lt;&gt;"",IFERROR(G53&gt;INDEX('08 Phases'!$G$9:$G$38,MATCH(C53,'08 Phases'!$B$9:$B$38,0)),FALSE)),"◔ Fin après la phase","✓")))))</f>
        <v/>
      </c>
    </row>
    <row r="54" spans="2:10" ht="21" customHeight="1" x14ac:dyDescent="0.25">
      <c r="B54" s="44" t="str">
        <f t="shared" si="1"/>
        <v/>
      </c>
      <c r="C54" s="43"/>
      <c r="D54" s="43"/>
      <c r="E54" s="43"/>
      <c r="F54" s="46"/>
      <c r="G54" s="46"/>
      <c r="H54" s="43"/>
      <c r="I54" s="43"/>
      <c r="J54" s="45" t="str">
        <f>IF(OR(C54="",D54=""),"",IF(COUNTIF($D$9:$D$88,D54)&gt;1,"⚠ N° en double",IF(AND(F54&lt;&gt;"",G54&lt;&gt;"",G54&lt;F54),"⚠ Fin avant début",IF(AND(F54&lt;&gt;"",IFERROR(F54&lt;INDEX('08 Phases'!$F$9:$F$38,MATCH(C54,'08 Phases'!$B$9:$B$38,0)),FALSE)),"◔ Début avant la phase",IF(AND(G54&lt;&gt;"",IFERROR(G54&gt;INDEX('08 Phases'!$G$9:$G$38,MATCH(C54,'08 Phases'!$B$9:$B$38,0)),FALSE)),"◔ Fin après la phase","✓")))))</f>
        <v/>
      </c>
    </row>
    <row r="55" spans="2:10" ht="21" customHeight="1" x14ac:dyDescent="0.25">
      <c r="B55" s="44" t="str">
        <f t="shared" si="1"/>
        <v/>
      </c>
      <c r="C55" s="43"/>
      <c r="D55" s="43"/>
      <c r="E55" s="43"/>
      <c r="F55" s="46"/>
      <c r="G55" s="46"/>
      <c r="H55" s="43"/>
      <c r="I55" s="43"/>
      <c r="J55" s="45" t="str">
        <f>IF(OR(C55="",D55=""),"",IF(COUNTIF($D$9:$D$88,D55)&gt;1,"⚠ N° en double",IF(AND(F55&lt;&gt;"",G55&lt;&gt;"",G55&lt;F55),"⚠ Fin avant début",IF(AND(F55&lt;&gt;"",IFERROR(F55&lt;INDEX('08 Phases'!$F$9:$F$38,MATCH(C55,'08 Phases'!$B$9:$B$38,0)),FALSE)),"◔ Début avant la phase",IF(AND(G55&lt;&gt;"",IFERROR(G55&gt;INDEX('08 Phases'!$G$9:$G$38,MATCH(C55,'08 Phases'!$B$9:$B$38,0)),FALSE)),"◔ Fin après la phase","✓")))))</f>
        <v/>
      </c>
    </row>
    <row r="56" spans="2:10" ht="21" customHeight="1" x14ac:dyDescent="0.25">
      <c r="B56" s="44" t="str">
        <f t="shared" si="1"/>
        <v/>
      </c>
      <c r="C56" s="43"/>
      <c r="D56" s="43"/>
      <c r="E56" s="43"/>
      <c r="F56" s="46"/>
      <c r="G56" s="46"/>
      <c r="H56" s="43"/>
      <c r="I56" s="43"/>
      <c r="J56" s="45" t="str">
        <f>IF(OR(C56="",D56=""),"",IF(COUNTIF($D$9:$D$88,D56)&gt;1,"⚠ N° en double",IF(AND(F56&lt;&gt;"",G56&lt;&gt;"",G56&lt;F56),"⚠ Fin avant début",IF(AND(F56&lt;&gt;"",IFERROR(F56&lt;INDEX('08 Phases'!$F$9:$F$38,MATCH(C56,'08 Phases'!$B$9:$B$38,0)),FALSE)),"◔ Début avant la phase",IF(AND(G56&lt;&gt;"",IFERROR(G56&gt;INDEX('08 Phases'!$G$9:$G$38,MATCH(C56,'08 Phases'!$B$9:$B$38,0)),FALSE)),"◔ Fin après la phase","✓")))))</f>
        <v/>
      </c>
    </row>
    <row r="57" spans="2:10" ht="21" customHeight="1" x14ac:dyDescent="0.25">
      <c r="B57" s="44" t="str">
        <f t="shared" si="1"/>
        <v/>
      </c>
      <c r="C57" s="43"/>
      <c r="D57" s="43"/>
      <c r="E57" s="43"/>
      <c r="F57" s="46"/>
      <c r="G57" s="46"/>
      <c r="H57" s="43"/>
      <c r="I57" s="43"/>
      <c r="J57" s="45" t="str">
        <f>IF(OR(C57="",D57=""),"",IF(COUNTIF($D$9:$D$88,D57)&gt;1,"⚠ N° en double",IF(AND(F57&lt;&gt;"",G57&lt;&gt;"",G57&lt;F57),"⚠ Fin avant début",IF(AND(F57&lt;&gt;"",IFERROR(F57&lt;INDEX('08 Phases'!$F$9:$F$38,MATCH(C57,'08 Phases'!$B$9:$B$38,0)),FALSE)),"◔ Début avant la phase",IF(AND(G57&lt;&gt;"",IFERROR(G57&gt;INDEX('08 Phases'!$G$9:$G$38,MATCH(C57,'08 Phases'!$B$9:$B$38,0)),FALSE)),"◔ Fin après la phase","✓")))))</f>
        <v/>
      </c>
    </row>
    <row r="58" spans="2:10" ht="21" customHeight="1" x14ac:dyDescent="0.25">
      <c r="B58" s="44" t="str">
        <f t="shared" si="1"/>
        <v/>
      </c>
      <c r="C58" s="43"/>
      <c r="D58" s="43"/>
      <c r="E58" s="43"/>
      <c r="F58" s="46"/>
      <c r="G58" s="46"/>
      <c r="H58" s="43"/>
      <c r="I58" s="43"/>
      <c r="J58" s="45" t="str">
        <f>IF(OR(C58="",D58=""),"",IF(COUNTIF($D$9:$D$88,D58)&gt;1,"⚠ N° en double",IF(AND(F58&lt;&gt;"",G58&lt;&gt;"",G58&lt;F58),"⚠ Fin avant début",IF(AND(F58&lt;&gt;"",IFERROR(F58&lt;INDEX('08 Phases'!$F$9:$F$38,MATCH(C58,'08 Phases'!$B$9:$B$38,0)),FALSE)),"◔ Début avant la phase",IF(AND(G58&lt;&gt;"",IFERROR(G58&gt;INDEX('08 Phases'!$G$9:$G$38,MATCH(C58,'08 Phases'!$B$9:$B$38,0)),FALSE)),"◔ Fin après la phase","✓")))))</f>
        <v/>
      </c>
    </row>
    <row r="59" spans="2:10" ht="21" customHeight="1" x14ac:dyDescent="0.25">
      <c r="B59" s="44" t="str">
        <f t="shared" si="1"/>
        <v/>
      </c>
      <c r="C59" s="43"/>
      <c r="D59" s="43"/>
      <c r="E59" s="43"/>
      <c r="F59" s="46"/>
      <c r="G59" s="46"/>
      <c r="H59" s="43"/>
      <c r="I59" s="43"/>
      <c r="J59" s="45" t="str">
        <f>IF(OR(C59="",D59=""),"",IF(COUNTIF($D$9:$D$88,D59)&gt;1,"⚠ N° en double",IF(AND(F59&lt;&gt;"",G59&lt;&gt;"",G59&lt;F59),"⚠ Fin avant début",IF(AND(F59&lt;&gt;"",IFERROR(F59&lt;INDEX('08 Phases'!$F$9:$F$38,MATCH(C59,'08 Phases'!$B$9:$B$38,0)),FALSE)),"◔ Début avant la phase",IF(AND(G59&lt;&gt;"",IFERROR(G59&gt;INDEX('08 Phases'!$G$9:$G$38,MATCH(C59,'08 Phases'!$B$9:$B$38,0)),FALSE)),"◔ Fin après la phase","✓")))))</f>
        <v/>
      </c>
    </row>
    <row r="60" spans="2:10" ht="21" customHeight="1" x14ac:dyDescent="0.25">
      <c r="B60" s="44" t="str">
        <f t="shared" si="1"/>
        <v/>
      </c>
      <c r="C60" s="43"/>
      <c r="D60" s="43"/>
      <c r="E60" s="43"/>
      <c r="F60" s="46"/>
      <c r="G60" s="46"/>
      <c r="H60" s="43"/>
      <c r="I60" s="43"/>
      <c r="J60" s="45" t="str">
        <f>IF(OR(C60="",D60=""),"",IF(COUNTIF($D$9:$D$88,D60)&gt;1,"⚠ N° en double",IF(AND(F60&lt;&gt;"",G60&lt;&gt;"",G60&lt;F60),"⚠ Fin avant début",IF(AND(F60&lt;&gt;"",IFERROR(F60&lt;INDEX('08 Phases'!$F$9:$F$38,MATCH(C60,'08 Phases'!$B$9:$B$38,0)),FALSE)),"◔ Début avant la phase",IF(AND(G60&lt;&gt;"",IFERROR(G60&gt;INDEX('08 Phases'!$G$9:$G$38,MATCH(C60,'08 Phases'!$B$9:$B$38,0)),FALSE)),"◔ Fin après la phase","✓")))))</f>
        <v/>
      </c>
    </row>
    <row r="61" spans="2:10" ht="21" customHeight="1" x14ac:dyDescent="0.25">
      <c r="B61" s="44" t="str">
        <f t="shared" si="1"/>
        <v/>
      </c>
      <c r="C61" s="43"/>
      <c r="D61" s="43"/>
      <c r="E61" s="43"/>
      <c r="F61" s="46"/>
      <c r="G61" s="46"/>
      <c r="H61" s="43"/>
      <c r="I61" s="43"/>
      <c r="J61" s="45" t="str">
        <f>IF(OR(C61="",D61=""),"",IF(COUNTIF($D$9:$D$88,D61)&gt;1,"⚠ N° en double",IF(AND(F61&lt;&gt;"",G61&lt;&gt;"",G61&lt;F61),"⚠ Fin avant début",IF(AND(F61&lt;&gt;"",IFERROR(F61&lt;INDEX('08 Phases'!$F$9:$F$38,MATCH(C61,'08 Phases'!$B$9:$B$38,0)),FALSE)),"◔ Début avant la phase",IF(AND(G61&lt;&gt;"",IFERROR(G61&gt;INDEX('08 Phases'!$G$9:$G$38,MATCH(C61,'08 Phases'!$B$9:$B$38,0)),FALSE)),"◔ Fin après la phase","✓")))))</f>
        <v/>
      </c>
    </row>
    <row r="62" spans="2:10" ht="21" customHeight="1" x14ac:dyDescent="0.25">
      <c r="B62" s="44" t="str">
        <f t="shared" si="1"/>
        <v/>
      </c>
      <c r="C62" s="43"/>
      <c r="D62" s="43"/>
      <c r="E62" s="43"/>
      <c r="F62" s="46"/>
      <c r="G62" s="46"/>
      <c r="H62" s="43"/>
      <c r="I62" s="43"/>
      <c r="J62" s="45" t="str">
        <f>IF(OR(C62="",D62=""),"",IF(COUNTIF($D$9:$D$88,D62)&gt;1,"⚠ N° en double",IF(AND(F62&lt;&gt;"",G62&lt;&gt;"",G62&lt;F62),"⚠ Fin avant début",IF(AND(F62&lt;&gt;"",IFERROR(F62&lt;INDEX('08 Phases'!$F$9:$F$38,MATCH(C62,'08 Phases'!$B$9:$B$38,0)),FALSE)),"◔ Début avant la phase",IF(AND(G62&lt;&gt;"",IFERROR(G62&gt;INDEX('08 Phases'!$G$9:$G$38,MATCH(C62,'08 Phases'!$B$9:$B$38,0)),FALSE)),"◔ Fin après la phase","✓")))))</f>
        <v/>
      </c>
    </row>
    <row r="63" spans="2:10" ht="21" customHeight="1" x14ac:dyDescent="0.25">
      <c r="B63" s="44" t="str">
        <f t="shared" si="1"/>
        <v/>
      </c>
      <c r="C63" s="43"/>
      <c r="D63" s="43"/>
      <c r="E63" s="43"/>
      <c r="F63" s="46"/>
      <c r="G63" s="46"/>
      <c r="H63" s="43"/>
      <c r="I63" s="43"/>
      <c r="J63" s="45" t="str">
        <f>IF(OR(C63="",D63=""),"",IF(COUNTIF($D$9:$D$88,D63)&gt;1,"⚠ N° en double",IF(AND(F63&lt;&gt;"",G63&lt;&gt;"",G63&lt;F63),"⚠ Fin avant début",IF(AND(F63&lt;&gt;"",IFERROR(F63&lt;INDEX('08 Phases'!$F$9:$F$38,MATCH(C63,'08 Phases'!$B$9:$B$38,0)),FALSE)),"◔ Début avant la phase",IF(AND(G63&lt;&gt;"",IFERROR(G63&gt;INDEX('08 Phases'!$G$9:$G$38,MATCH(C63,'08 Phases'!$B$9:$B$38,0)),FALSE)),"◔ Fin après la phase","✓")))))</f>
        <v/>
      </c>
    </row>
    <row r="64" spans="2:10" ht="21" customHeight="1" x14ac:dyDescent="0.25">
      <c r="B64" s="44" t="str">
        <f t="shared" si="1"/>
        <v/>
      </c>
      <c r="C64" s="43"/>
      <c r="D64" s="43"/>
      <c r="E64" s="43"/>
      <c r="F64" s="46"/>
      <c r="G64" s="46"/>
      <c r="H64" s="43"/>
      <c r="I64" s="43"/>
      <c r="J64" s="45" t="str">
        <f>IF(OR(C64="",D64=""),"",IF(COUNTIF($D$9:$D$88,D64)&gt;1,"⚠ N° en double",IF(AND(F64&lt;&gt;"",G64&lt;&gt;"",G64&lt;F64),"⚠ Fin avant début",IF(AND(F64&lt;&gt;"",IFERROR(F64&lt;INDEX('08 Phases'!$F$9:$F$38,MATCH(C64,'08 Phases'!$B$9:$B$38,0)),FALSE)),"◔ Début avant la phase",IF(AND(G64&lt;&gt;"",IFERROR(G64&gt;INDEX('08 Phases'!$G$9:$G$38,MATCH(C64,'08 Phases'!$B$9:$B$38,0)),FALSE)),"◔ Fin après la phase","✓")))))</f>
        <v/>
      </c>
    </row>
    <row r="65" spans="2:10" ht="21" customHeight="1" x14ac:dyDescent="0.25">
      <c r="B65" s="44" t="str">
        <f t="shared" si="1"/>
        <v/>
      </c>
      <c r="C65" s="43"/>
      <c r="D65" s="43"/>
      <c r="E65" s="43"/>
      <c r="F65" s="46"/>
      <c r="G65" s="46"/>
      <c r="H65" s="43"/>
      <c r="I65" s="43"/>
      <c r="J65" s="45" t="str">
        <f>IF(OR(C65="",D65=""),"",IF(COUNTIF($D$9:$D$88,D65)&gt;1,"⚠ N° en double",IF(AND(F65&lt;&gt;"",G65&lt;&gt;"",G65&lt;F65),"⚠ Fin avant début",IF(AND(F65&lt;&gt;"",IFERROR(F65&lt;INDEX('08 Phases'!$F$9:$F$38,MATCH(C65,'08 Phases'!$B$9:$B$38,0)),FALSE)),"◔ Début avant la phase",IF(AND(G65&lt;&gt;"",IFERROR(G65&gt;INDEX('08 Phases'!$G$9:$G$38,MATCH(C65,'08 Phases'!$B$9:$B$38,0)),FALSE)),"◔ Fin après la phase","✓")))))</f>
        <v/>
      </c>
    </row>
    <row r="66" spans="2:10" ht="21" customHeight="1" x14ac:dyDescent="0.25">
      <c r="B66" s="44" t="str">
        <f t="shared" si="1"/>
        <v/>
      </c>
      <c r="C66" s="43"/>
      <c r="D66" s="43"/>
      <c r="E66" s="43"/>
      <c r="F66" s="46"/>
      <c r="G66" s="46"/>
      <c r="H66" s="43"/>
      <c r="I66" s="43"/>
      <c r="J66" s="45" t="str">
        <f>IF(OR(C66="",D66=""),"",IF(COUNTIF($D$9:$D$88,D66)&gt;1,"⚠ N° en double",IF(AND(F66&lt;&gt;"",G66&lt;&gt;"",G66&lt;F66),"⚠ Fin avant début",IF(AND(F66&lt;&gt;"",IFERROR(F66&lt;INDEX('08 Phases'!$F$9:$F$38,MATCH(C66,'08 Phases'!$B$9:$B$38,0)),FALSE)),"◔ Début avant la phase",IF(AND(G66&lt;&gt;"",IFERROR(G66&gt;INDEX('08 Phases'!$G$9:$G$38,MATCH(C66,'08 Phases'!$B$9:$B$38,0)),FALSE)),"◔ Fin après la phase","✓")))))</f>
        <v/>
      </c>
    </row>
    <row r="67" spans="2:10" ht="21" customHeight="1" x14ac:dyDescent="0.25">
      <c r="B67" s="44" t="str">
        <f t="shared" si="1"/>
        <v/>
      </c>
      <c r="C67" s="43"/>
      <c r="D67" s="43"/>
      <c r="E67" s="43"/>
      <c r="F67" s="46"/>
      <c r="G67" s="46"/>
      <c r="H67" s="43"/>
      <c r="I67" s="43"/>
      <c r="J67" s="45" t="str">
        <f>IF(OR(C67="",D67=""),"",IF(COUNTIF($D$9:$D$88,D67)&gt;1,"⚠ N° en double",IF(AND(F67&lt;&gt;"",G67&lt;&gt;"",G67&lt;F67),"⚠ Fin avant début",IF(AND(F67&lt;&gt;"",IFERROR(F67&lt;INDEX('08 Phases'!$F$9:$F$38,MATCH(C67,'08 Phases'!$B$9:$B$38,0)),FALSE)),"◔ Début avant la phase",IF(AND(G67&lt;&gt;"",IFERROR(G67&gt;INDEX('08 Phases'!$G$9:$G$38,MATCH(C67,'08 Phases'!$B$9:$B$38,0)),FALSE)),"◔ Fin après la phase","✓")))))</f>
        <v/>
      </c>
    </row>
    <row r="68" spans="2:10" ht="21" customHeight="1" x14ac:dyDescent="0.25">
      <c r="B68" s="44" t="str">
        <f t="shared" si="1"/>
        <v/>
      </c>
      <c r="C68" s="43"/>
      <c r="D68" s="43"/>
      <c r="E68" s="43"/>
      <c r="F68" s="46"/>
      <c r="G68" s="46"/>
      <c r="H68" s="43"/>
      <c r="I68" s="43"/>
      <c r="J68" s="45" t="str">
        <f>IF(OR(C68="",D68=""),"",IF(COUNTIF($D$9:$D$88,D68)&gt;1,"⚠ N° en double",IF(AND(F68&lt;&gt;"",G68&lt;&gt;"",G68&lt;F68),"⚠ Fin avant début",IF(AND(F68&lt;&gt;"",IFERROR(F68&lt;INDEX('08 Phases'!$F$9:$F$38,MATCH(C68,'08 Phases'!$B$9:$B$38,0)),FALSE)),"◔ Début avant la phase",IF(AND(G68&lt;&gt;"",IFERROR(G68&gt;INDEX('08 Phases'!$G$9:$G$38,MATCH(C68,'08 Phases'!$B$9:$B$38,0)),FALSE)),"◔ Fin après la phase","✓")))))</f>
        <v/>
      </c>
    </row>
    <row r="69" spans="2:10" ht="21" customHeight="1" x14ac:dyDescent="0.25">
      <c r="B69" s="44" t="str">
        <f t="shared" si="1"/>
        <v/>
      </c>
      <c r="C69" s="43"/>
      <c r="D69" s="43"/>
      <c r="E69" s="43"/>
      <c r="F69" s="46"/>
      <c r="G69" s="46"/>
      <c r="H69" s="43"/>
      <c r="I69" s="43"/>
      <c r="J69" s="45" t="str">
        <f>IF(OR(C69="",D69=""),"",IF(COUNTIF($D$9:$D$88,D69)&gt;1,"⚠ N° en double",IF(AND(F69&lt;&gt;"",G69&lt;&gt;"",G69&lt;F69),"⚠ Fin avant début",IF(AND(F69&lt;&gt;"",IFERROR(F69&lt;INDEX('08 Phases'!$F$9:$F$38,MATCH(C69,'08 Phases'!$B$9:$B$38,0)),FALSE)),"◔ Début avant la phase",IF(AND(G69&lt;&gt;"",IFERROR(G69&gt;INDEX('08 Phases'!$G$9:$G$38,MATCH(C69,'08 Phases'!$B$9:$B$38,0)),FALSE)),"◔ Fin après la phase","✓")))))</f>
        <v/>
      </c>
    </row>
    <row r="70" spans="2:10" ht="21" customHeight="1" x14ac:dyDescent="0.25">
      <c r="B70" s="44" t="str">
        <f t="shared" si="1"/>
        <v/>
      </c>
      <c r="C70" s="43"/>
      <c r="D70" s="43"/>
      <c r="E70" s="43"/>
      <c r="F70" s="46"/>
      <c r="G70" s="46"/>
      <c r="H70" s="43"/>
      <c r="I70" s="43"/>
      <c r="J70" s="45" t="str">
        <f>IF(OR(C70="",D70=""),"",IF(COUNTIF($D$9:$D$88,D70)&gt;1,"⚠ N° en double",IF(AND(F70&lt;&gt;"",G70&lt;&gt;"",G70&lt;F70),"⚠ Fin avant début",IF(AND(F70&lt;&gt;"",IFERROR(F70&lt;INDEX('08 Phases'!$F$9:$F$38,MATCH(C70,'08 Phases'!$B$9:$B$38,0)),FALSE)),"◔ Début avant la phase",IF(AND(G70&lt;&gt;"",IFERROR(G70&gt;INDEX('08 Phases'!$G$9:$G$38,MATCH(C70,'08 Phases'!$B$9:$B$38,0)),FALSE)),"◔ Fin après la phase","✓")))))</f>
        <v/>
      </c>
    </row>
    <row r="71" spans="2:10" ht="21" customHeight="1" x14ac:dyDescent="0.25">
      <c r="B71" s="44" t="str">
        <f t="shared" si="1"/>
        <v/>
      </c>
      <c r="C71" s="43"/>
      <c r="D71" s="43"/>
      <c r="E71" s="43"/>
      <c r="F71" s="46"/>
      <c r="G71" s="46"/>
      <c r="H71" s="43"/>
      <c r="I71" s="43"/>
      <c r="J71" s="45" t="str">
        <f>IF(OR(C71="",D71=""),"",IF(COUNTIF($D$9:$D$88,D71)&gt;1,"⚠ N° en double",IF(AND(F71&lt;&gt;"",G71&lt;&gt;"",G71&lt;F71),"⚠ Fin avant début",IF(AND(F71&lt;&gt;"",IFERROR(F71&lt;INDEX('08 Phases'!$F$9:$F$38,MATCH(C71,'08 Phases'!$B$9:$B$38,0)),FALSE)),"◔ Début avant la phase",IF(AND(G71&lt;&gt;"",IFERROR(G71&gt;INDEX('08 Phases'!$G$9:$G$38,MATCH(C71,'08 Phases'!$B$9:$B$38,0)),FALSE)),"◔ Fin après la phase","✓")))))</f>
        <v/>
      </c>
    </row>
    <row r="72" spans="2:10" ht="21" customHeight="1" x14ac:dyDescent="0.25">
      <c r="B72" s="44" t="str">
        <f t="shared" si="1"/>
        <v/>
      </c>
      <c r="C72" s="43"/>
      <c r="D72" s="43"/>
      <c r="E72" s="43"/>
      <c r="F72" s="46"/>
      <c r="G72" s="46"/>
      <c r="H72" s="43"/>
      <c r="I72" s="43"/>
      <c r="J72" s="45" t="str">
        <f>IF(OR(C72="",D72=""),"",IF(COUNTIF($D$9:$D$88,D72)&gt;1,"⚠ N° en double",IF(AND(F72&lt;&gt;"",G72&lt;&gt;"",G72&lt;F72),"⚠ Fin avant début",IF(AND(F72&lt;&gt;"",IFERROR(F72&lt;INDEX('08 Phases'!$F$9:$F$38,MATCH(C72,'08 Phases'!$B$9:$B$38,0)),FALSE)),"◔ Début avant la phase",IF(AND(G72&lt;&gt;"",IFERROR(G72&gt;INDEX('08 Phases'!$G$9:$G$38,MATCH(C72,'08 Phases'!$B$9:$B$38,0)),FALSE)),"◔ Fin après la phase","✓")))))</f>
        <v/>
      </c>
    </row>
    <row r="73" spans="2:10" ht="21" customHeight="1" x14ac:dyDescent="0.25">
      <c r="B73" s="44" t="str">
        <f t="shared" ref="B73:B88" si="2">IF(D73="","",D73&amp;" · "&amp;E73)</f>
        <v/>
      </c>
      <c r="C73" s="43"/>
      <c r="D73" s="43"/>
      <c r="E73" s="43"/>
      <c r="F73" s="46"/>
      <c r="G73" s="46"/>
      <c r="H73" s="43"/>
      <c r="I73" s="43"/>
      <c r="J73" s="45" t="str">
        <f>IF(OR(C73="",D73=""),"",IF(COUNTIF($D$9:$D$88,D73)&gt;1,"⚠ N° en double",IF(AND(F73&lt;&gt;"",G73&lt;&gt;"",G73&lt;F73),"⚠ Fin avant début",IF(AND(F73&lt;&gt;"",IFERROR(F73&lt;INDEX('08 Phases'!$F$9:$F$38,MATCH(C73,'08 Phases'!$B$9:$B$38,0)),FALSE)),"◔ Début avant la phase",IF(AND(G73&lt;&gt;"",IFERROR(G73&gt;INDEX('08 Phases'!$G$9:$G$38,MATCH(C73,'08 Phases'!$B$9:$B$38,0)),FALSE)),"◔ Fin après la phase","✓")))))</f>
        <v/>
      </c>
    </row>
    <row r="74" spans="2:10" ht="21" customHeight="1" x14ac:dyDescent="0.25">
      <c r="B74" s="44" t="str">
        <f t="shared" si="2"/>
        <v/>
      </c>
      <c r="C74" s="43"/>
      <c r="D74" s="43"/>
      <c r="E74" s="43"/>
      <c r="F74" s="46"/>
      <c r="G74" s="46"/>
      <c r="H74" s="43"/>
      <c r="I74" s="43"/>
      <c r="J74" s="45" t="str">
        <f>IF(OR(C74="",D74=""),"",IF(COUNTIF($D$9:$D$88,D74)&gt;1,"⚠ N° en double",IF(AND(F74&lt;&gt;"",G74&lt;&gt;"",G74&lt;F74),"⚠ Fin avant début",IF(AND(F74&lt;&gt;"",IFERROR(F74&lt;INDEX('08 Phases'!$F$9:$F$38,MATCH(C74,'08 Phases'!$B$9:$B$38,0)),FALSE)),"◔ Début avant la phase",IF(AND(G74&lt;&gt;"",IFERROR(G74&gt;INDEX('08 Phases'!$G$9:$G$38,MATCH(C74,'08 Phases'!$B$9:$B$38,0)),FALSE)),"◔ Fin après la phase","✓")))))</f>
        <v/>
      </c>
    </row>
    <row r="75" spans="2:10" ht="21" customHeight="1" x14ac:dyDescent="0.25">
      <c r="B75" s="44" t="str">
        <f t="shared" si="2"/>
        <v/>
      </c>
      <c r="C75" s="43"/>
      <c r="D75" s="43"/>
      <c r="E75" s="43"/>
      <c r="F75" s="46"/>
      <c r="G75" s="46"/>
      <c r="H75" s="43"/>
      <c r="I75" s="43"/>
      <c r="J75" s="45" t="str">
        <f>IF(OR(C75="",D75=""),"",IF(COUNTIF($D$9:$D$88,D75)&gt;1,"⚠ N° en double",IF(AND(F75&lt;&gt;"",G75&lt;&gt;"",G75&lt;F75),"⚠ Fin avant début",IF(AND(F75&lt;&gt;"",IFERROR(F75&lt;INDEX('08 Phases'!$F$9:$F$38,MATCH(C75,'08 Phases'!$B$9:$B$38,0)),FALSE)),"◔ Début avant la phase",IF(AND(G75&lt;&gt;"",IFERROR(G75&gt;INDEX('08 Phases'!$G$9:$G$38,MATCH(C75,'08 Phases'!$B$9:$B$38,0)),FALSE)),"◔ Fin après la phase","✓")))))</f>
        <v/>
      </c>
    </row>
    <row r="76" spans="2:10" ht="21" customHeight="1" x14ac:dyDescent="0.25">
      <c r="B76" s="44" t="str">
        <f t="shared" si="2"/>
        <v/>
      </c>
      <c r="C76" s="43"/>
      <c r="D76" s="43"/>
      <c r="E76" s="43"/>
      <c r="F76" s="46"/>
      <c r="G76" s="46"/>
      <c r="H76" s="43"/>
      <c r="I76" s="43"/>
      <c r="J76" s="45" t="str">
        <f>IF(OR(C76="",D76=""),"",IF(COUNTIF($D$9:$D$88,D76)&gt;1,"⚠ N° en double",IF(AND(F76&lt;&gt;"",G76&lt;&gt;"",G76&lt;F76),"⚠ Fin avant début",IF(AND(F76&lt;&gt;"",IFERROR(F76&lt;INDEX('08 Phases'!$F$9:$F$38,MATCH(C76,'08 Phases'!$B$9:$B$38,0)),FALSE)),"◔ Début avant la phase",IF(AND(G76&lt;&gt;"",IFERROR(G76&gt;INDEX('08 Phases'!$G$9:$G$38,MATCH(C76,'08 Phases'!$B$9:$B$38,0)),FALSE)),"◔ Fin après la phase","✓")))))</f>
        <v/>
      </c>
    </row>
    <row r="77" spans="2:10" ht="21" customHeight="1" x14ac:dyDescent="0.25">
      <c r="B77" s="44" t="str">
        <f t="shared" si="2"/>
        <v/>
      </c>
      <c r="C77" s="43"/>
      <c r="D77" s="43"/>
      <c r="E77" s="43"/>
      <c r="F77" s="46"/>
      <c r="G77" s="46"/>
      <c r="H77" s="43"/>
      <c r="I77" s="43"/>
      <c r="J77" s="45" t="str">
        <f>IF(OR(C77="",D77=""),"",IF(COUNTIF($D$9:$D$88,D77)&gt;1,"⚠ N° en double",IF(AND(F77&lt;&gt;"",G77&lt;&gt;"",G77&lt;F77),"⚠ Fin avant début",IF(AND(F77&lt;&gt;"",IFERROR(F77&lt;INDEX('08 Phases'!$F$9:$F$38,MATCH(C77,'08 Phases'!$B$9:$B$38,0)),FALSE)),"◔ Début avant la phase",IF(AND(G77&lt;&gt;"",IFERROR(G77&gt;INDEX('08 Phases'!$G$9:$G$38,MATCH(C77,'08 Phases'!$B$9:$B$38,0)),FALSE)),"◔ Fin après la phase","✓")))))</f>
        <v/>
      </c>
    </row>
    <row r="78" spans="2:10" ht="21" customHeight="1" x14ac:dyDescent="0.25">
      <c r="B78" s="44" t="str">
        <f t="shared" si="2"/>
        <v/>
      </c>
      <c r="C78" s="43"/>
      <c r="D78" s="43"/>
      <c r="E78" s="43"/>
      <c r="F78" s="46"/>
      <c r="G78" s="46"/>
      <c r="H78" s="43"/>
      <c r="I78" s="43"/>
      <c r="J78" s="45" t="str">
        <f>IF(OR(C78="",D78=""),"",IF(COUNTIF($D$9:$D$88,D78)&gt;1,"⚠ N° en double",IF(AND(F78&lt;&gt;"",G78&lt;&gt;"",G78&lt;F78),"⚠ Fin avant début",IF(AND(F78&lt;&gt;"",IFERROR(F78&lt;INDEX('08 Phases'!$F$9:$F$38,MATCH(C78,'08 Phases'!$B$9:$B$38,0)),FALSE)),"◔ Début avant la phase",IF(AND(G78&lt;&gt;"",IFERROR(G78&gt;INDEX('08 Phases'!$G$9:$G$38,MATCH(C78,'08 Phases'!$B$9:$B$38,0)),FALSE)),"◔ Fin après la phase","✓")))))</f>
        <v/>
      </c>
    </row>
    <row r="79" spans="2:10" ht="21" customHeight="1" x14ac:dyDescent="0.25">
      <c r="B79" s="44" t="str">
        <f t="shared" si="2"/>
        <v/>
      </c>
      <c r="C79" s="43"/>
      <c r="D79" s="43"/>
      <c r="E79" s="43"/>
      <c r="F79" s="46"/>
      <c r="G79" s="46"/>
      <c r="H79" s="43"/>
      <c r="I79" s="43"/>
      <c r="J79" s="45" t="str">
        <f>IF(OR(C79="",D79=""),"",IF(COUNTIF($D$9:$D$88,D79)&gt;1,"⚠ N° en double",IF(AND(F79&lt;&gt;"",G79&lt;&gt;"",G79&lt;F79),"⚠ Fin avant début",IF(AND(F79&lt;&gt;"",IFERROR(F79&lt;INDEX('08 Phases'!$F$9:$F$38,MATCH(C79,'08 Phases'!$B$9:$B$38,0)),FALSE)),"◔ Début avant la phase",IF(AND(G79&lt;&gt;"",IFERROR(G79&gt;INDEX('08 Phases'!$G$9:$G$38,MATCH(C79,'08 Phases'!$B$9:$B$38,0)),FALSE)),"◔ Fin après la phase","✓")))))</f>
        <v/>
      </c>
    </row>
    <row r="80" spans="2:10" ht="21" customHeight="1" x14ac:dyDescent="0.25">
      <c r="B80" s="44" t="str">
        <f t="shared" si="2"/>
        <v/>
      </c>
      <c r="C80" s="43"/>
      <c r="D80" s="43"/>
      <c r="E80" s="43"/>
      <c r="F80" s="46"/>
      <c r="G80" s="46"/>
      <c r="H80" s="43"/>
      <c r="I80" s="43"/>
      <c r="J80" s="45" t="str">
        <f>IF(OR(C80="",D80=""),"",IF(COUNTIF($D$9:$D$88,D80)&gt;1,"⚠ N° en double",IF(AND(F80&lt;&gt;"",G80&lt;&gt;"",G80&lt;F80),"⚠ Fin avant début",IF(AND(F80&lt;&gt;"",IFERROR(F80&lt;INDEX('08 Phases'!$F$9:$F$38,MATCH(C80,'08 Phases'!$B$9:$B$38,0)),FALSE)),"◔ Début avant la phase",IF(AND(G80&lt;&gt;"",IFERROR(G80&gt;INDEX('08 Phases'!$G$9:$G$38,MATCH(C80,'08 Phases'!$B$9:$B$38,0)),FALSE)),"◔ Fin après la phase","✓")))))</f>
        <v/>
      </c>
    </row>
    <row r="81" spans="2:10" ht="21" customHeight="1" x14ac:dyDescent="0.25">
      <c r="B81" s="44" t="str">
        <f t="shared" si="2"/>
        <v/>
      </c>
      <c r="C81" s="43"/>
      <c r="D81" s="43"/>
      <c r="E81" s="43"/>
      <c r="F81" s="46"/>
      <c r="G81" s="46"/>
      <c r="H81" s="43"/>
      <c r="I81" s="43"/>
      <c r="J81" s="45" t="str">
        <f>IF(OR(C81="",D81=""),"",IF(COUNTIF($D$9:$D$88,D81)&gt;1,"⚠ N° en double",IF(AND(F81&lt;&gt;"",G81&lt;&gt;"",G81&lt;F81),"⚠ Fin avant début",IF(AND(F81&lt;&gt;"",IFERROR(F81&lt;INDEX('08 Phases'!$F$9:$F$38,MATCH(C81,'08 Phases'!$B$9:$B$38,0)),FALSE)),"◔ Début avant la phase",IF(AND(G81&lt;&gt;"",IFERROR(G81&gt;INDEX('08 Phases'!$G$9:$G$38,MATCH(C81,'08 Phases'!$B$9:$B$38,0)),FALSE)),"◔ Fin après la phase","✓")))))</f>
        <v/>
      </c>
    </row>
    <row r="82" spans="2:10" ht="21" customHeight="1" x14ac:dyDescent="0.25">
      <c r="B82" s="44" t="str">
        <f t="shared" si="2"/>
        <v/>
      </c>
      <c r="C82" s="43"/>
      <c r="D82" s="43"/>
      <c r="E82" s="43"/>
      <c r="F82" s="46"/>
      <c r="G82" s="46"/>
      <c r="H82" s="43"/>
      <c r="I82" s="43"/>
      <c r="J82" s="45" t="str">
        <f>IF(OR(C82="",D82=""),"",IF(COUNTIF($D$9:$D$88,D82)&gt;1,"⚠ N° en double",IF(AND(F82&lt;&gt;"",G82&lt;&gt;"",G82&lt;F82),"⚠ Fin avant début",IF(AND(F82&lt;&gt;"",IFERROR(F82&lt;INDEX('08 Phases'!$F$9:$F$38,MATCH(C82,'08 Phases'!$B$9:$B$38,0)),FALSE)),"◔ Début avant la phase",IF(AND(G82&lt;&gt;"",IFERROR(G82&gt;INDEX('08 Phases'!$G$9:$G$38,MATCH(C82,'08 Phases'!$B$9:$B$38,0)),FALSE)),"◔ Fin après la phase","✓")))))</f>
        <v/>
      </c>
    </row>
    <row r="83" spans="2:10" ht="21" customHeight="1" x14ac:dyDescent="0.25">
      <c r="B83" s="44" t="str">
        <f t="shared" si="2"/>
        <v/>
      </c>
      <c r="C83" s="43"/>
      <c r="D83" s="43"/>
      <c r="E83" s="43"/>
      <c r="F83" s="46"/>
      <c r="G83" s="46"/>
      <c r="H83" s="43"/>
      <c r="I83" s="43"/>
      <c r="J83" s="45" t="str">
        <f>IF(OR(C83="",D83=""),"",IF(COUNTIF($D$9:$D$88,D83)&gt;1,"⚠ N° en double",IF(AND(F83&lt;&gt;"",G83&lt;&gt;"",G83&lt;F83),"⚠ Fin avant début",IF(AND(F83&lt;&gt;"",IFERROR(F83&lt;INDEX('08 Phases'!$F$9:$F$38,MATCH(C83,'08 Phases'!$B$9:$B$38,0)),FALSE)),"◔ Début avant la phase",IF(AND(G83&lt;&gt;"",IFERROR(G83&gt;INDEX('08 Phases'!$G$9:$G$38,MATCH(C83,'08 Phases'!$B$9:$B$38,0)),FALSE)),"◔ Fin après la phase","✓")))))</f>
        <v/>
      </c>
    </row>
    <row r="84" spans="2:10" ht="21" customHeight="1" x14ac:dyDescent="0.25">
      <c r="B84" s="44" t="str">
        <f t="shared" si="2"/>
        <v/>
      </c>
      <c r="C84" s="43"/>
      <c r="D84" s="43"/>
      <c r="E84" s="43"/>
      <c r="F84" s="46"/>
      <c r="G84" s="46"/>
      <c r="H84" s="43"/>
      <c r="I84" s="43"/>
      <c r="J84" s="45" t="str">
        <f>IF(OR(C84="",D84=""),"",IF(COUNTIF($D$9:$D$88,D84)&gt;1,"⚠ N° en double",IF(AND(F84&lt;&gt;"",G84&lt;&gt;"",G84&lt;F84),"⚠ Fin avant début",IF(AND(F84&lt;&gt;"",IFERROR(F84&lt;INDEX('08 Phases'!$F$9:$F$38,MATCH(C84,'08 Phases'!$B$9:$B$38,0)),FALSE)),"◔ Début avant la phase",IF(AND(G84&lt;&gt;"",IFERROR(G84&gt;INDEX('08 Phases'!$G$9:$G$38,MATCH(C84,'08 Phases'!$B$9:$B$38,0)),FALSE)),"◔ Fin après la phase","✓")))))</f>
        <v/>
      </c>
    </row>
    <row r="85" spans="2:10" ht="21" customHeight="1" x14ac:dyDescent="0.25">
      <c r="B85" s="44" t="str">
        <f t="shared" si="2"/>
        <v/>
      </c>
      <c r="C85" s="43"/>
      <c r="D85" s="43"/>
      <c r="E85" s="43"/>
      <c r="F85" s="46"/>
      <c r="G85" s="46"/>
      <c r="H85" s="43"/>
      <c r="I85" s="43"/>
      <c r="J85" s="45" t="str">
        <f>IF(OR(C85="",D85=""),"",IF(COUNTIF($D$9:$D$88,D85)&gt;1,"⚠ N° en double",IF(AND(F85&lt;&gt;"",G85&lt;&gt;"",G85&lt;F85),"⚠ Fin avant début",IF(AND(F85&lt;&gt;"",IFERROR(F85&lt;INDEX('08 Phases'!$F$9:$F$38,MATCH(C85,'08 Phases'!$B$9:$B$38,0)),FALSE)),"◔ Début avant la phase",IF(AND(G85&lt;&gt;"",IFERROR(G85&gt;INDEX('08 Phases'!$G$9:$G$38,MATCH(C85,'08 Phases'!$B$9:$B$38,0)),FALSE)),"◔ Fin après la phase","✓")))))</f>
        <v/>
      </c>
    </row>
    <row r="86" spans="2:10" ht="21" customHeight="1" x14ac:dyDescent="0.25">
      <c r="B86" s="44" t="str">
        <f t="shared" si="2"/>
        <v/>
      </c>
      <c r="C86" s="43"/>
      <c r="D86" s="43"/>
      <c r="E86" s="43"/>
      <c r="F86" s="46"/>
      <c r="G86" s="46"/>
      <c r="H86" s="43"/>
      <c r="I86" s="43"/>
      <c r="J86" s="45" t="str">
        <f>IF(OR(C86="",D86=""),"",IF(COUNTIF($D$9:$D$88,D86)&gt;1,"⚠ N° en double",IF(AND(F86&lt;&gt;"",G86&lt;&gt;"",G86&lt;F86),"⚠ Fin avant début",IF(AND(F86&lt;&gt;"",IFERROR(F86&lt;INDEX('08 Phases'!$F$9:$F$38,MATCH(C86,'08 Phases'!$B$9:$B$38,0)),FALSE)),"◔ Début avant la phase",IF(AND(G86&lt;&gt;"",IFERROR(G86&gt;INDEX('08 Phases'!$G$9:$G$38,MATCH(C86,'08 Phases'!$B$9:$B$38,0)),FALSE)),"◔ Fin après la phase","✓")))))</f>
        <v/>
      </c>
    </row>
    <row r="87" spans="2:10" ht="21" customHeight="1" x14ac:dyDescent="0.25">
      <c r="B87" s="44" t="str">
        <f t="shared" si="2"/>
        <v/>
      </c>
      <c r="C87" s="43"/>
      <c r="D87" s="43"/>
      <c r="E87" s="43"/>
      <c r="F87" s="46"/>
      <c r="G87" s="46"/>
      <c r="H87" s="43"/>
      <c r="I87" s="43"/>
      <c r="J87" s="45" t="str">
        <f>IF(OR(C87="",D87=""),"",IF(COUNTIF($D$9:$D$88,D87)&gt;1,"⚠ N° en double",IF(AND(F87&lt;&gt;"",G87&lt;&gt;"",G87&lt;F87),"⚠ Fin avant début",IF(AND(F87&lt;&gt;"",IFERROR(F87&lt;INDEX('08 Phases'!$F$9:$F$38,MATCH(C87,'08 Phases'!$B$9:$B$38,0)),FALSE)),"◔ Début avant la phase",IF(AND(G87&lt;&gt;"",IFERROR(G87&gt;INDEX('08 Phases'!$G$9:$G$38,MATCH(C87,'08 Phases'!$B$9:$B$38,0)),FALSE)),"◔ Fin après la phase","✓")))))</f>
        <v/>
      </c>
    </row>
    <row r="88" spans="2:10" ht="21" customHeight="1" x14ac:dyDescent="0.25">
      <c r="B88" s="44" t="str">
        <f t="shared" si="2"/>
        <v/>
      </c>
      <c r="C88" s="43"/>
      <c r="D88" s="43"/>
      <c r="E88" s="43"/>
      <c r="F88" s="46"/>
      <c r="G88" s="46"/>
      <c r="H88" s="43"/>
      <c r="I88" s="43"/>
      <c r="J88" s="45" t="str">
        <f>IF(OR(C88="",D88=""),"",IF(COUNTIF($D$9:$D$88,D88)&gt;1,"⚠ N° en double",IF(AND(F88&lt;&gt;"",G88&lt;&gt;"",G88&lt;F88),"⚠ Fin avant début",IF(AND(F88&lt;&gt;"",IFERROR(F88&lt;INDEX('08 Phases'!$F$9:$F$38,MATCH(C88,'08 Phases'!$B$9:$B$38,0)),FALSE)),"◔ Début avant la phase",IF(AND(G88&lt;&gt;"",IFERROR(G88&gt;INDEX('08 Phases'!$G$9:$G$38,MATCH(C88,'08 Phases'!$B$9:$B$38,0)),FALSE)),"◔ Fin après la phase","✓")))))</f>
        <v/>
      </c>
    </row>
  </sheetData>
  <sheetProtection sheet="1" formatColumns="0" formatRows="0" sort="0" autoFilter="0"/>
  <autoFilter ref="B8:J8" xr:uid="{00000000-0009-0000-0000-00000B000000}"/>
  <conditionalFormatting sqref="C9:E88">
    <cfRule type="expression" dxfId="30" priority="1">
      <formula>AND(OR($C9&lt;&gt;"",$D9&lt;&gt;"",$E9&lt;&gt;"",$F9&lt;&gt;"",$G9&lt;&gt;"",$H9&lt;&gt;"",$I9&lt;&gt;""),C9="")</formula>
    </cfRule>
  </conditionalFormatting>
  <dataValidations count="3">
    <dataValidation type="list" allowBlank="1" showErrorMessage="1" errorTitle="Valeur hors liste" error="Choisissez une valeur dans la liste. Elle se remplit à partir de l’onglet correspondant." sqref="C9:C88" xr:uid="{00000000-0002-0000-0B00-000000000000}">
      <formula1>L_Phases</formula1>
    </dataValidation>
    <dataValidation type="date" operator="greaterThan" allowBlank="1" showErrorMessage="1" errorTitle="Date attendue" error="Saisissez une date au format JJ/MM/AAAA." sqref="F9:G88" xr:uid="{00000000-0002-0000-0B00-000002000000}">
      <formula1>36526</formula1>
    </dataValidation>
    <dataValidation type="list" allowBlank="1" showErrorMessage="1" errorTitle="Valeur hors liste" error="Choisissez une valeur dans la liste. Elle se remplit à partir de l’onglet correspondant." sqref="H9:H88" xr:uid="{00000000-0002-0000-0B00-000004000000}">
      <formula1>L_StatutPhase</formula1>
    </dataValidation>
  </dataValidations>
  <hyperlinks>
    <hyperlink ref="J3" location="#'Complétude'!A1" display="↩  Complétude" xr:uid="{00000000-0004-0000-0B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000000-000E-0000-0B00-000004000000}">
            <xm:f>NOT(ISERROR(SEARCH("⚠",J9)))</xm:f>
            <x14:dxf>
              <font>
                <b/>
                <color rgb="FFC2473B"/>
              </font>
            </x14:dxf>
          </x14:cfRule>
          <x14:cfRule type="containsText" priority="4" operator="containsText" id="{00000000-000E-0000-0B00-000004000000}">
            <xm:f>NOT(ISERROR(SEARCH("◔",J9)))</xm:f>
            <x14:dxf>
              <font>
                <b/>
                <color rgb="FFB26A12"/>
              </font>
            </x14:dxf>
          </x14:cfRule>
          <xm:sqref>J9:J88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D8F86"/>
    <pageSetUpPr fitToPage="1"/>
  </sheetPr>
  <dimension ref="B1:M3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G7" sqref="G7:H8"/>
    </sheetView>
  </sheetViews>
  <sheetFormatPr baseColWidth="10" defaultColWidth="9.140625" defaultRowHeight="15" x14ac:dyDescent="0.25"/>
  <cols>
    <col min="1" max="1" width="3" customWidth="1"/>
    <col min="2" max="2" width="8" customWidth="1"/>
    <col min="3" max="3" width="30" customWidth="1"/>
    <col min="4" max="4" width="24" customWidth="1"/>
    <col min="5" max="6" width="12" customWidth="1"/>
    <col min="7" max="8" width="13.7109375" customWidth="1"/>
    <col min="9" max="9" width="44" customWidth="1"/>
    <col min="10" max="11" width="22" customWidth="1"/>
    <col min="12" max="12" width="30" customWidth="1"/>
    <col min="13" max="13" width="24" customWidth="1"/>
  </cols>
  <sheetData>
    <row r="1" spans="2:13" ht="12" customHeight="1" x14ac:dyDescent="0.25"/>
    <row r="2" spans="2:13" ht="33.950000000000003" customHeight="1" x14ac:dyDescent="0.45">
      <c r="B2" s="1" t="s">
        <v>53</v>
      </c>
      <c r="M2" s="35">
        <f>Complétude!$I28</f>
        <v>0</v>
      </c>
    </row>
    <row r="3" spans="2:13" ht="18" customHeight="1" x14ac:dyDescent="0.25">
      <c r="B3" s="2" t="s">
        <v>338</v>
      </c>
      <c r="M3" s="36" t="s">
        <v>195</v>
      </c>
    </row>
    <row r="4" spans="2:13" ht="18" customHeight="1" x14ac:dyDescent="0.25">
      <c r="B4" t="s">
        <v>263</v>
      </c>
    </row>
    <row r="5" spans="2:13" ht="15.95" customHeight="1" x14ac:dyDescent="0.25">
      <c r="B5" s="37" t="s">
        <v>339</v>
      </c>
    </row>
    <row r="6" spans="2:13" ht="9.9499999999999993" customHeight="1" x14ac:dyDescent="0.25"/>
    <row r="7" spans="2:13" ht="15" customHeight="1" x14ac:dyDescent="0.25">
      <c r="B7" s="40" t="s">
        <v>200</v>
      </c>
      <c r="C7" s="38" t="s">
        <v>198</v>
      </c>
      <c r="D7" s="38" t="s">
        <v>212</v>
      </c>
      <c r="E7" s="39" t="s">
        <v>213</v>
      </c>
      <c r="F7" s="39" t="s">
        <v>213</v>
      </c>
      <c r="G7" s="38" t="s">
        <v>199</v>
      </c>
      <c r="H7" s="38" t="s">
        <v>199</v>
      </c>
      <c r="I7" s="39" t="s">
        <v>199</v>
      </c>
      <c r="J7" s="39" t="s">
        <v>264</v>
      </c>
      <c r="K7" s="39" t="s">
        <v>264</v>
      </c>
      <c r="L7" s="39" t="s">
        <v>264</v>
      </c>
      <c r="M7" s="39" t="s">
        <v>201</v>
      </c>
    </row>
    <row r="8" spans="2:13" ht="26.1" customHeight="1" x14ac:dyDescent="0.25">
      <c r="B8" s="42" t="s">
        <v>265</v>
      </c>
      <c r="C8" s="41" t="s">
        <v>202</v>
      </c>
      <c r="D8" s="41" t="s">
        <v>256</v>
      </c>
      <c r="E8" s="41" t="s">
        <v>103</v>
      </c>
      <c r="F8" s="41" t="s">
        <v>19</v>
      </c>
      <c r="G8" s="41" t="s">
        <v>223</v>
      </c>
      <c r="H8" s="41" t="s">
        <v>224</v>
      </c>
      <c r="I8" s="41" t="s">
        <v>203</v>
      </c>
      <c r="J8" s="41" t="s">
        <v>47</v>
      </c>
      <c r="K8" s="41" t="s">
        <v>50</v>
      </c>
      <c r="L8" s="41" t="s">
        <v>266</v>
      </c>
      <c r="M8" s="41" t="s">
        <v>153</v>
      </c>
    </row>
    <row r="9" spans="2:13" ht="21" customHeight="1" x14ac:dyDescent="0.25">
      <c r="B9" s="44" t="str">
        <f t="shared" ref="B9:B38" si="0">IF(C9="","","C"&amp;(ROW()-8))</f>
        <v/>
      </c>
      <c r="C9" s="43"/>
      <c r="D9" s="43"/>
      <c r="E9" s="43"/>
      <c r="F9" s="43"/>
      <c r="G9" s="46"/>
      <c r="H9" s="46"/>
      <c r="I9" s="43"/>
      <c r="J9" s="43"/>
      <c r="K9" s="43"/>
      <c r="L9" s="43"/>
      <c r="M9" s="45" t="str">
        <f t="shared" ref="M9:M38" si="1">IF(C9="","",IF(AND(L9&lt;&gt;"",ISNUMBER(SEARCH(";"&amp;C9&amp;";",";"&amp;SUBSTITUTE(SUBSTITUTE(TRIM(L9)," ;",";"),"; ",";")&amp;";"))),"⚠ Dépend de lui-même",IF(AND(ISNUMBER(SEARCH(";Tous;",";"&amp;SUBSTITUTE(SUBSTITUTE(TRIM(L9)," ;",";"),"; ",";")&amp;";")),LEN(";"&amp;SUBSTITUTE(SUBSTITUTE(TRIM(L9)," ;",";"),"; ",";")&amp;";")&gt;6),"⚠ « Tous » seul",IF(AND(K9&lt;&gt;"",J9=""),"⚠ Sous-phases sans phase","✓"))))</f>
        <v/>
      </c>
    </row>
    <row r="10" spans="2:13" ht="21" customHeight="1" x14ac:dyDescent="0.25">
      <c r="B10" s="44" t="str">
        <f t="shared" si="0"/>
        <v/>
      </c>
      <c r="C10" s="43"/>
      <c r="D10" s="43"/>
      <c r="E10" s="43"/>
      <c r="F10" s="43"/>
      <c r="G10" s="46"/>
      <c r="H10" s="46"/>
      <c r="I10" s="43"/>
      <c r="J10" s="43"/>
      <c r="K10" s="43"/>
      <c r="L10" s="43"/>
      <c r="M10" s="45" t="str">
        <f t="shared" si="1"/>
        <v/>
      </c>
    </row>
    <row r="11" spans="2:13" ht="21" customHeight="1" x14ac:dyDescent="0.25">
      <c r="B11" s="44" t="str">
        <f t="shared" si="0"/>
        <v/>
      </c>
      <c r="C11" s="43"/>
      <c r="D11" s="43"/>
      <c r="E11" s="43"/>
      <c r="F11" s="43"/>
      <c r="G11" s="46"/>
      <c r="H11" s="46"/>
      <c r="I11" s="43"/>
      <c r="J11" s="43"/>
      <c r="K11" s="43"/>
      <c r="L11" s="43"/>
      <c r="M11" s="45" t="str">
        <f t="shared" si="1"/>
        <v/>
      </c>
    </row>
    <row r="12" spans="2:13" ht="21" customHeight="1" x14ac:dyDescent="0.25">
      <c r="B12" s="44" t="str">
        <f t="shared" si="0"/>
        <v/>
      </c>
      <c r="C12" s="43"/>
      <c r="D12" s="43"/>
      <c r="E12" s="43"/>
      <c r="F12" s="43"/>
      <c r="G12" s="46"/>
      <c r="H12" s="46"/>
      <c r="I12" s="43"/>
      <c r="J12" s="43"/>
      <c r="K12" s="43"/>
      <c r="L12" s="43"/>
      <c r="M12" s="45" t="str">
        <f t="shared" si="1"/>
        <v/>
      </c>
    </row>
    <row r="13" spans="2:13" ht="21" customHeight="1" x14ac:dyDescent="0.25">
      <c r="B13" s="44" t="str">
        <f t="shared" si="0"/>
        <v/>
      </c>
      <c r="C13" s="43"/>
      <c r="D13" s="43"/>
      <c r="E13" s="43"/>
      <c r="F13" s="43"/>
      <c r="G13" s="46"/>
      <c r="H13" s="46"/>
      <c r="I13" s="43"/>
      <c r="J13" s="43"/>
      <c r="K13" s="43"/>
      <c r="L13" s="43"/>
      <c r="M13" s="45" t="str">
        <f t="shared" si="1"/>
        <v/>
      </c>
    </row>
    <row r="14" spans="2:13" ht="21" customHeight="1" x14ac:dyDescent="0.25">
      <c r="B14" s="44" t="str">
        <f t="shared" si="0"/>
        <v/>
      </c>
      <c r="C14" s="43"/>
      <c r="D14" s="43"/>
      <c r="E14" s="43"/>
      <c r="F14" s="43"/>
      <c r="G14" s="46"/>
      <c r="H14" s="46"/>
      <c r="I14" s="43"/>
      <c r="J14" s="43"/>
      <c r="K14" s="43"/>
      <c r="L14" s="43"/>
      <c r="M14" s="45" t="str">
        <f t="shared" si="1"/>
        <v/>
      </c>
    </row>
    <row r="15" spans="2:13" ht="21" customHeight="1" x14ac:dyDescent="0.25">
      <c r="B15" s="44" t="str">
        <f t="shared" si="0"/>
        <v/>
      </c>
      <c r="C15" s="43"/>
      <c r="D15" s="43"/>
      <c r="E15" s="43"/>
      <c r="F15" s="43"/>
      <c r="G15" s="46"/>
      <c r="H15" s="46"/>
      <c r="I15" s="43"/>
      <c r="J15" s="43"/>
      <c r="K15" s="43"/>
      <c r="L15" s="43"/>
      <c r="M15" s="45" t="str">
        <f t="shared" si="1"/>
        <v/>
      </c>
    </row>
    <row r="16" spans="2:13" ht="21" customHeight="1" x14ac:dyDescent="0.25">
      <c r="B16" s="44" t="str">
        <f t="shared" si="0"/>
        <v/>
      </c>
      <c r="C16" s="43"/>
      <c r="D16" s="43"/>
      <c r="E16" s="43"/>
      <c r="F16" s="43"/>
      <c r="G16" s="46"/>
      <c r="H16" s="46"/>
      <c r="I16" s="43"/>
      <c r="J16" s="43"/>
      <c r="K16" s="43"/>
      <c r="L16" s="43"/>
      <c r="M16" s="45" t="str">
        <f t="shared" si="1"/>
        <v/>
      </c>
    </row>
    <row r="17" spans="2:13" ht="21" customHeight="1" x14ac:dyDescent="0.25">
      <c r="B17" s="44" t="str">
        <f t="shared" si="0"/>
        <v/>
      </c>
      <c r="C17" s="43"/>
      <c r="D17" s="43"/>
      <c r="E17" s="43"/>
      <c r="F17" s="43"/>
      <c r="G17" s="46"/>
      <c r="H17" s="46"/>
      <c r="I17" s="43"/>
      <c r="J17" s="43"/>
      <c r="K17" s="43"/>
      <c r="L17" s="43"/>
      <c r="M17" s="45" t="str">
        <f t="shared" si="1"/>
        <v/>
      </c>
    </row>
    <row r="18" spans="2:13" ht="21" customHeight="1" x14ac:dyDescent="0.25">
      <c r="B18" s="44" t="str">
        <f t="shared" si="0"/>
        <v/>
      </c>
      <c r="C18" s="43"/>
      <c r="D18" s="43"/>
      <c r="E18" s="43"/>
      <c r="F18" s="43"/>
      <c r="G18" s="46"/>
      <c r="H18" s="46"/>
      <c r="I18" s="43"/>
      <c r="J18" s="43"/>
      <c r="K18" s="43"/>
      <c r="L18" s="43"/>
      <c r="M18" s="45" t="str">
        <f t="shared" si="1"/>
        <v/>
      </c>
    </row>
    <row r="19" spans="2:13" ht="21" customHeight="1" x14ac:dyDescent="0.25">
      <c r="B19" s="44" t="str">
        <f t="shared" si="0"/>
        <v/>
      </c>
      <c r="C19" s="43"/>
      <c r="D19" s="43"/>
      <c r="E19" s="43"/>
      <c r="F19" s="43"/>
      <c r="G19" s="46"/>
      <c r="H19" s="46"/>
      <c r="I19" s="43"/>
      <c r="J19" s="43"/>
      <c r="K19" s="43"/>
      <c r="L19" s="43"/>
      <c r="M19" s="45" t="str">
        <f t="shared" si="1"/>
        <v/>
      </c>
    </row>
    <row r="20" spans="2:13" ht="21" customHeight="1" x14ac:dyDescent="0.25">
      <c r="B20" s="44" t="str">
        <f t="shared" si="0"/>
        <v/>
      </c>
      <c r="C20" s="43"/>
      <c r="D20" s="43"/>
      <c r="E20" s="43"/>
      <c r="F20" s="43"/>
      <c r="G20" s="46"/>
      <c r="H20" s="46"/>
      <c r="I20" s="43"/>
      <c r="J20" s="43"/>
      <c r="K20" s="43"/>
      <c r="L20" s="43"/>
      <c r="M20" s="45" t="str">
        <f t="shared" si="1"/>
        <v/>
      </c>
    </row>
    <row r="21" spans="2:13" ht="21" customHeight="1" x14ac:dyDescent="0.25">
      <c r="B21" s="44" t="str">
        <f t="shared" si="0"/>
        <v/>
      </c>
      <c r="C21" s="43"/>
      <c r="D21" s="43"/>
      <c r="E21" s="43"/>
      <c r="F21" s="43"/>
      <c r="G21" s="46"/>
      <c r="H21" s="46"/>
      <c r="I21" s="43"/>
      <c r="J21" s="43"/>
      <c r="K21" s="43"/>
      <c r="L21" s="43"/>
      <c r="M21" s="45" t="str">
        <f t="shared" si="1"/>
        <v/>
      </c>
    </row>
    <row r="22" spans="2:13" ht="21" customHeight="1" x14ac:dyDescent="0.25">
      <c r="B22" s="44" t="str">
        <f t="shared" si="0"/>
        <v/>
      </c>
      <c r="C22" s="43"/>
      <c r="D22" s="43"/>
      <c r="E22" s="43"/>
      <c r="F22" s="43"/>
      <c r="G22" s="46"/>
      <c r="H22" s="46"/>
      <c r="I22" s="43"/>
      <c r="J22" s="43"/>
      <c r="K22" s="43"/>
      <c r="L22" s="43"/>
      <c r="M22" s="45" t="str">
        <f t="shared" si="1"/>
        <v/>
      </c>
    </row>
    <row r="23" spans="2:13" ht="21" customHeight="1" x14ac:dyDescent="0.25">
      <c r="B23" s="44" t="str">
        <f t="shared" si="0"/>
        <v/>
      </c>
      <c r="C23" s="43"/>
      <c r="D23" s="43"/>
      <c r="E23" s="43"/>
      <c r="F23" s="43"/>
      <c r="G23" s="46"/>
      <c r="H23" s="46"/>
      <c r="I23" s="43"/>
      <c r="J23" s="43"/>
      <c r="K23" s="43"/>
      <c r="L23" s="43"/>
      <c r="M23" s="45" t="str">
        <f t="shared" si="1"/>
        <v/>
      </c>
    </row>
    <row r="24" spans="2:13" ht="21" customHeight="1" x14ac:dyDescent="0.25">
      <c r="B24" s="44" t="str">
        <f t="shared" si="0"/>
        <v/>
      </c>
      <c r="C24" s="43"/>
      <c r="D24" s="43"/>
      <c r="E24" s="43"/>
      <c r="F24" s="43"/>
      <c r="G24" s="46"/>
      <c r="H24" s="46"/>
      <c r="I24" s="43"/>
      <c r="J24" s="43"/>
      <c r="K24" s="43"/>
      <c r="L24" s="43"/>
      <c r="M24" s="45" t="str">
        <f t="shared" si="1"/>
        <v/>
      </c>
    </row>
    <row r="25" spans="2:13" ht="21" customHeight="1" x14ac:dyDescent="0.25">
      <c r="B25" s="44" t="str">
        <f t="shared" si="0"/>
        <v/>
      </c>
      <c r="C25" s="43"/>
      <c r="D25" s="43"/>
      <c r="E25" s="43"/>
      <c r="F25" s="43"/>
      <c r="G25" s="46"/>
      <c r="H25" s="46"/>
      <c r="I25" s="43"/>
      <c r="J25" s="43"/>
      <c r="K25" s="43"/>
      <c r="L25" s="43"/>
      <c r="M25" s="45" t="str">
        <f t="shared" si="1"/>
        <v/>
      </c>
    </row>
    <row r="26" spans="2:13" ht="21" customHeight="1" x14ac:dyDescent="0.25">
      <c r="B26" s="44" t="str">
        <f t="shared" si="0"/>
        <v/>
      </c>
      <c r="C26" s="43"/>
      <c r="D26" s="43"/>
      <c r="E26" s="43"/>
      <c r="F26" s="43"/>
      <c r="G26" s="46"/>
      <c r="H26" s="46"/>
      <c r="I26" s="43"/>
      <c r="J26" s="43"/>
      <c r="K26" s="43"/>
      <c r="L26" s="43"/>
      <c r="M26" s="45" t="str">
        <f t="shared" si="1"/>
        <v/>
      </c>
    </row>
    <row r="27" spans="2:13" ht="21" customHeight="1" x14ac:dyDescent="0.25">
      <c r="B27" s="44" t="str">
        <f t="shared" si="0"/>
        <v/>
      </c>
      <c r="C27" s="43"/>
      <c r="D27" s="43"/>
      <c r="E27" s="43"/>
      <c r="F27" s="43"/>
      <c r="G27" s="46"/>
      <c r="H27" s="46"/>
      <c r="I27" s="43"/>
      <c r="J27" s="43"/>
      <c r="K27" s="43"/>
      <c r="L27" s="43"/>
      <c r="M27" s="45" t="str">
        <f t="shared" si="1"/>
        <v/>
      </c>
    </row>
    <row r="28" spans="2:13" ht="21" customHeight="1" x14ac:dyDescent="0.25">
      <c r="B28" s="44" t="str">
        <f t="shared" si="0"/>
        <v/>
      </c>
      <c r="C28" s="43"/>
      <c r="D28" s="43"/>
      <c r="E28" s="43"/>
      <c r="F28" s="43"/>
      <c r="G28" s="46"/>
      <c r="H28" s="46"/>
      <c r="I28" s="43"/>
      <c r="J28" s="43"/>
      <c r="K28" s="43"/>
      <c r="L28" s="43"/>
      <c r="M28" s="45" t="str">
        <f t="shared" si="1"/>
        <v/>
      </c>
    </row>
    <row r="29" spans="2:13" ht="21" customHeight="1" x14ac:dyDescent="0.25">
      <c r="B29" s="44" t="str">
        <f t="shared" si="0"/>
        <v/>
      </c>
      <c r="C29" s="43"/>
      <c r="D29" s="43"/>
      <c r="E29" s="43"/>
      <c r="F29" s="43"/>
      <c r="G29" s="46"/>
      <c r="H29" s="46"/>
      <c r="I29" s="43"/>
      <c r="J29" s="43"/>
      <c r="K29" s="43"/>
      <c r="L29" s="43"/>
      <c r="M29" s="45" t="str">
        <f t="shared" si="1"/>
        <v/>
      </c>
    </row>
    <row r="30" spans="2:13" ht="21" customHeight="1" x14ac:dyDescent="0.25">
      <c r="B30" s="44" t="str">
        <f t="shared" si="0"/>
        <v/>
      </c>
      <c r="C30" s="43"/>
      <c r="D30" s="43"/>
      <c r="E30" s="43"/>
      <c r="F30" s="43"/>
      <c r="G30" s="46"/>
      <c r="H30" s="46"/>
      <c r="I30" s="43"/>
      <c r="J30" s="43"/>
      <c r="K30" s="43"/>
      <c r="L30" s="43"/>
      <c r="M30" s="45" t="str">
        <f t="shared" si="1"/>
        <v/>
      </c>
    </row>
    <row r="31" spans="2:13" ht="21" customHeight="1" x14ac:dyDescent="0.25">
      <c r="B31" s="44" t="str">
        <f t="shared" si="0"/>
        <v/>
      </c>
      <c r="C31" s="43"/>
      <c r="D31" s="43"/>
      <c r="E31" s="43"/>
      <c r="F31" s="43"/>
      <c r="G31" s="46"/>
      <c r="H31" s="46"/>
      <c r="I31" s="43"/>
      <c r="J31" s="43"/>
      <c r="K31" s="43"/>
      <c r="L31" s="43"/>
      <c r="M31" s="45" t="str">
        <f t="shared" si="1"/>
        <v/>
      </c>
    </row>
    <row r="32" spans="2:13" ht="21" customHeight="1" x14ac:dyDescent="0.25">
      <c r="B32" s="44" t="str">
        <f t="shared" si="0"/>
        <v/>
      </c>
      <c r="C32" s="43"/>
      <c r="D32" s="43"/>
      <c r="E32" s="43"/>
      <c r="F32" s="43"/>
      <c r="G32" s="46"/>
      <c r="H32" s="46"/>
      <c r="I32" s="43"/>
      <c r="J32" s="43"/>
      <c r="K32" s="43"/>
      <c r="L32" s="43"/>
      <c r="M32" s="45" t="str">
        <f t="shared" si="1"/>
        <v/>
      </c>
    </row>
    <row r="33" spans="2:13" ht="21" customHeight="1" x14ac:dyDescent="0.25">
      <c r="B33" s="44" t="str">
        <f t="shared" si="0"/>
        <v/>
      </c>
      <c r="C33" s="43"/>
      <c r="D33" s="43"/>
      <c r="E33" s="43"/>
      <c r="F33" s="43"/>
      <c r="G33" s="46"/>
      <c r="H33" s="46"/>
      <c r="I33" s="43"/>
      <c r="J33" s="43"/>
      <c r="K33" s="43"/>
      <c r="L33" s="43"/>
      <c r="M33" s="45" t="str">
        <f t="shared" si="1"/>
        <v/>
      </c>
    </row>
    <row r="34" spans="2:13" ht="21" customHeight="1" x14ac:dyDescent="0.25">
      <c r="B34" s="44" t="str">
        <f t="shared" si="0"/>
        <v/>
      </c>
      <c r="C34" s="43"/>
      <c r="D34" s="43"/>
      <c r="E34" s="43"/>
      <c r="F34" s="43"/>
      <c r="G34" s="46"/>
      <c r="H34" s="46"/>
      <c r="I34" s="43"/>
      <c r="J34" s="43"/>
      <c r="K34" s="43"/>
      <c r="L34" s="43"/>
      <c r="M34" s="45" t="str">
        <f t="shared" si="1"/>
        <v/>
      </c>
    </row>
    <row r="35" spans="2:13" ht="21" customHeight="1" x14ac:dyDescent="0.25">
      <c r="B35" s="44" t="str">
        <f t="shared" si="0"/>
        <v/>
      </c>
      <c r="C35" s="43"/>
      <c r="D35" s="43"/>
      <c r="E35" s="43"/>
      <c r="F35" s="43"/>
      <c r="G35" s="46"/>
      <c r="H35" s="46"/>
      <c r="I35" s="43"/>
      <c r="J35" s="43"/>
      <c r="K35" s="43"/>
      <c r="L35" s="43"/>
      <c r="M35" s="45" t="str">
        <f t="shared" si="1"/>
        <v/>
      </c>
    </row>
    <row r="36" spans="2:13" ht="21" customHeight="1" x14ac:dyDescent="0.25">
      <c r="B36" s="44" t="str">
        <f t="shared" si="0"/>
        <v/>
      </c>
      <c r="C36" s="43"/>
      <c r="D36" s="43"/>
      <c r="E36" s="43"/>
      <c r="F36" s="43"/>
      <c r="G36" s="46"/>
      <c r="H36" s="46"/>
      <c r="I36" s="43"/>
      <c r="J36" s="43"/>
      <c r="K36" s="43"/>
      <c r="L36" s="43"/>
      <c r="M36" s="45" t="str">
        <f t="shared" si="1"/>
        <v/>
      </c>
    </row>
    <row r="37" spans="2:13" ht="21" customHeight="1" x14ac:dyDescent="0.25">
      <c r="B37" s="44" t="str">
        <f t="shared" si="0"/>
        <v/>
      </c>
      <c r="C37" s="43"/>
      <c r="D37" s="43"/>
      <c r="E37" s="43"/>
      <c r="F37" s="43"/>
      <c r="G37" s="46"/>
      <c r="H37" s="46"/>
      <c r="I37" s="43"/>
      <c r="J37" s="43"/>
      <c r="K37" s="43"/>
      <c r="L37" s="43"/>
      <c r="M37" s="45" t="str">
        <f t="shared" si="1"/>
        <v/>
      </c>
    </row>
    <row r="38" spans="2:13" ht="21" customHeight="1" x14ac:dyDescent="0.25">
      <c r="B38" s="44" t="str">
        <f t="shared" si="0"/>
        <v/>
      </c>
      <c r="C38" s="43"/>
      <c r="D38" s="43"/>
      <c r="E38" s="43"/>
      <c r="F38" s="43"/>
      <c r="G38" s="46"/>
      <c r="H38" s="46"/>
      <c r="I38" s="43"/>
      <c r="J38" s="43"/>
      <c r="K38" s="43"/>
      <c r="L38" s="43"/>
      <c r="M38" s="45" t="str">
        <f t="shared" si="1"/>
        <v/>
      </c>
    </row>
  </sheetData>
  <sheetProtection sheet="1" formatColumns="0" formatRows="0" sort="0" autoFilter="0"/>
  <autoFilter ref="B8:I8" xr:uid="{00000000-0009-0000-0000-00000C000000}"/>
  <conditionalFormatting sqref="C9:D38">
    <cfRule type="expression" dxfId="27" priority="2">
      <formula>AND(OR($C9&lt;&gt;"",$D9&lt;&gt;"",$E9&lt;&gt;"",$F9&lt;&gt;"",$I9&lt;&gt;"",$J9&lt;&gt;"",$K9&lt;&gt;"",$L9&lt;&gt;""),C9="")</formula>
    </cfRule>
  </conditionalFormatting>
  <conditionalFormatting sqref="G9:H38">
    <cfRule type="expression" dxfId="0" priority="1">
      <formula>AND(OR($C9&lt;&gt;"",$D9&lt;&gt;"",$E9&lt;&gt;"",$F9&lt;&gt;"",$G9&lt;&gt;"",$H9&lt;&gt;"",$I9&lt;&gt;""),G9="")</formula>
    </cfRule>
  </conditionalFormatting>
  <dataValidations count="7">
    <dataValidation type="list" allowBlank="1" showErrorMessage="1" errorTitle="Valeur hors liste" error="Choisissez une valeur dans la liste. Elle se remplit à partir de l’onglet correspondant." sqref="D9:D38" xr:uid="{00000000-0002-0000-0C00-000000000000}">
      <formula1>L_Personnes</formula1>
    </dataValidation>
    <dataValidation type="list" allowBlank="1" showErrorMessage="1" errorTitle="Valeur hors liste" error="Choisissez une valeur dans la liste. Elle se remplit à partir de l’onglet correspondant." sqref="E9:E38" xr:uid="{00000000-0002-0000-0C00-000002000000}">
      <formula1>L_Lots</formula1>
    </dataValidation>
    <dataValidation type="list" allowBlank="1" showErrorMessage="1" errorTitle="Valeur hors liste" error="Choisissez une valeur dans la liste. Elle se remplit à partir de l’onglet correspondant." sqref="F9:F38" xr:uid="{00000000-0002-0000-0C00-000004000000}">
      <formula1>L_StatutChantier</formula1>
    </dataValidation>
    <dataValidation allowBlank="1" showInputMessage="1" promptTitle="Phases du chantier" prompt="N° ou noms des phases de l’onglet 07, séparés par « ; ». Ex. 3 ; 4" sqref="J9:J38" xr:uid="{00000000-0002-0000-0C00-000006000000}"/>
    <dataValidation allowBlank="1" showInputMessage="1" promptTitle="Sous-phases du chantier" prompt="N° des sous-phases de l’onglet 08 (ex. 3.1 ; 4.2), chacune dans une phase de la colonne Phases." sqref="K9:K38" xr:uid="{00000000-0002-0000-0C00-000007000000}"/>
    <dataValidation allowBlank="1" showInputMessage="1" promptTitle="Dépendances" prompt="Noms des chantiers dont celui-ci dépend, séparés par « ; », ou Tous (seul). Jamais le chantier lui-même, ni de boucle." sqref="L9:L38" xr:uid="{00000000-0002-0000-0C00-000008000000}"/>
    <dataValidation type="date" operator="greaterThan" allowBlank="1" showErrorMessage="1" errorTitle="Date attendue" error="Saisissez une date au format JJ/MM/AAAA." sqref="G9:H38" xr:uid="{D89C4D21-ACCE-46DE-B398-6A3BCC8FB296}">
      <formula1>36526</formula1>
    </dataValidation>
  </dataValidations>
  <hyperlinks>
    <hyperlink ref="M3" location="'Complétude'!A1" display="↩  Complétude" xr:uid="{00000000-0004-0000-0C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000000-000E-0000-0C00-000003000000}">
            <xm:f>NOT(ISERROR(SEARCH("⚠",M9)))</xm:f>
            <x14:dxf>
              <font>
                <b/>
                <color rgb="FFC2473B"/>
              </font>
            </x14:dxf>
          </x14:cfRule>
          <x14:cfRule type="containsText" priority="4" operator="containsText" id="{00000000-000E-0000-0C00-000003000000}">
            <xm:f>NOT(ISERROR(SEARCH("◔",M9)))</xm:f>
            <x14:dxf>
              <font>
                <b/>
                <color rgb="FFB26A12"/>
              </font>
            </x14:dxf>
          </x14:cfRule>
          <xm:sqref>M9:M38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A5CC4"/>
    <pageSetUpPr fitToPage="1"/>
  </sheetPr>
  <dimension ref="B1:J2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3" customWidth="1"/>
    <col min="4" max="4" width="12" customWidth="1"/>
    <col min="5" max="5" width="3.42578125" customWidth="1"/>
    <col min="6" max="6" width="16" customWidth="1"/>
    <col min="7" max="7" width="14" customWidth="1"/>
    <col min="8" max="8" width="44" customWidth="1"/>
    <col min="9" max="9" width="10" customWidth="1"/>
    <col min="10" max="10" width="22" customWidth="1"/>
  </cols>
  <sheetData>
    <row r="1" spans="2:10" ht="12" customHeight="1" x14ac:dyDescent="0.25"/>
    <row r="2" spans="2:10" ht="33.950000000000003" customHeight="1" x14ac:dyDescent="0.45">
      <c r="B2" s="1" t="s">
        <v>58</v>
      </c>
      <c r="J2" s="35">
        <f>Complétude!$I30</f>
        <v>0</v>
      </c>
    </row>
    <row r="3" spans="2:10" ht="18" customHeight="1" x14ac:dyDescent="0.25">
      <c r="B3" s="2" t="s">
        <v>267</v>
      </c>
      <c r="J3" s="36" t="s">
        <v>195</v>
      </c>
    </row>
    <row r="4" spans="2:10" ht="18" customHeight="1" x14ac:dyDescent="0.25">
      <c r="B4" t="s">
        <v>268</v>
      </c>
    </row>
    <row r="5" spans="2:10" ht="15.95" customHeight="1" x14ac:dyDescent="0.25">
      <c r="B5" s="37" t="s">
        <v>269</v>
      </c>
    </row>
    <row r="6" spans="2:10" ht="9.9499999999999993" customHeight="1" x14ac:dyDescent="0.25"/>
    <row r="7" spans="2:10" ht="15" customHeight="1" x14ac:dyDescent="0.25">
      <c r="B7" s="38" t="s">
        <v>198</v>
      </c>
      <c r="C7" s="38" t="s">
        <v>198</v>
      </c>
      <c r="D7" s="38" t="s">
        <v>212</v>
      </c>
      <c r="E7" s="40"/>
      <c r="F7" s="38" t="s">
        <v>212</v>
      </c>
      <c r="G7" s="39" t="s">
        <v>213</v>
      </c>
      <c r="H7" s="39" t="s">
        <v>199</v>
      </c>
      <c r="I7" s="40" t="s">
        <v>200</v>
      </c>
      <c r="J7" s="40" t="s">
        <v>201</v>
      </c>
    </row>
    <row r="8" spans="2:10" ht="26.1" customHeight="1" x14ac:dyDescent="0.25">
      <c r="B8" s="41" t="s">
        <v>202</v>
      </c>
      <c r="C8" s="41" t="s">
        <v>124</v>
      </c>
      <c r="D8" s="41" t="s">
        <v>270</v>
      </c>
      <c r="E8" s="42"/>
      <c r="F8" s="41" t="s">
        <v>271</v>
      </c>
      <c r="G8" s="41" t="s">
        <v>272</v>
      </c>
      <c r="H8" s="41" t="s">
        <v>273</v>
      </c>
      <c r="I8" s="42" t="s">
        <v>274</v>
      </c>
      <c r="J8" s="42" t="s">
        <v>153</v>
      </c>
    </row>
    <row r="9" spans="2:10" ht="21" customHeight="1" x14ac:dyDescent="0.25">
      <c r="B9" s="43"/>
      <c r="C9" s="43"/>
      <c r="D9" s="43"/>
      <c r="E9" s="56" t="str">
        <f>""</f>
        <v/>
      </c>
      <c r="F9" s="43"/>
      <c r="G9" s="43"/>
      <c r="H9" s="43"/>
      <c r="I9" s="44" t="str">
        <f>IF(B9="","",COUNTIF('12 Membres'!$B$9:$B$208,B9))</f>
        <v/>
      </c>
      <c r="J9" s="45" t="str">
        <f t="shared" ref="J9:J28" si="0">IF(B9="","",IF(AND(C9&lt;&gt;"",COUNTIF($C$9:$C$28,C9)&gt;1),"⚠ Nom court en double",IF(I9=0,"◔ Aucun membre","✓")))</f>
        <v/>
      </c>
    </row>
    <row r="10" spans="2:10" ht="21" customHeight="1" x14ac:dyDescent="0.25">
      <c r="B10" s="43"/>
      <c r="C10" s="43"/>
      <c r="D10" s="43"/>
      <c r="E10" s="56" t="str">
        <f>""</f>
        <v/>
      </c>
      <c r="F10" s="43"/>
      <c r="G10" s="43"/>
      <c r="H10" s="43"/>
      <c r="I10" s="44" t="str">
        <f>IF(B10="","",COUNTIF('12 Membres'!$B$9:$B$208,B10))</f>
        <v/>
      </c>
      <c r="J10" s="45" t="str">
        <f t="shared" si="0"/>
        <v/>
      </c>
    </row>
    <row r="11" spans="2:10" ht="21" customHeight="1" x14ac:dyDescent="0.25">
      <c r="B11" s="43"/>
      <c r="C11" s="43"/>
      <c r="D11" s="43"/>
      <c r="E11" s="56" t="str">
        <f>""</f>
        <v/>
      </c>
      <c r="F11" s="43"/>
      <c r="G11" s="43"/>
      <c r="H11" s="43"/>
      <c r="I11" s="44" t="str">
        <f>IF(B11="","",COUNTIF('12 Membres'!$B$9:$B$208,B11))</f>
        <v/>
      </c>
      <c r="J11" s="45" t="str">
        <f t="shared" si="0"/>
        <v/>
      </c>
    </row>
    <row r="12" spans="2:10" ht="21" customHeight="1" x14ac:dyDescent="0.25">
      <c r="B12" s="43"/>
      <c r="C12" s="43"/>
      <c r="D12" s="43"/>
      <c r="E12" s="56" t="str">
        <f>""</f>
        <v/>
      </c>
      <c r="F12" s="43"/>
      <c r="G12" s="43"/>
      <c r="H12" s="43"/>
      <c r="I12" s="44" t="str">
        <f>IF(B12="","",COUNTIF('12 Membres'!$B$9:$B$208,B12))</f>
        <v/>
      </c>
      <c r="J12" s="45" t="str">
        <f t="shared" si="0"/>
        <v/>
      </c>
    </row>
    <row r="13" spans="2:10" ht="21" customHeight="1" x14ac:dyDescent="0.25">
      <c r="B13" s="43"/>
      <c r="C13" s="43"/>
      <c r="D13" s="43"/>
      <c r="E13" s="56" t="str">
        <f>""</f>
        <v/>
      </c>
      <c r="F13" s="43"/>
      <c r="G13" s="43"/>
      <c r="H13" s="43"/>
      <c r="I13" s="44" t="str">
        <f>IF(B13="","",COUNTIF('12 Membres'!$B$9:$B$208,B13))</f>
        <v/>
      </c>
      <c r="J13" s="45" t="str">
        <f t="shared" si="0"/>
        <v/>
      </c>
    </row>
    <row r="14" spans="2:10" ht="21" customHeight="1" x14ac:dyDescent="0.25">
      <c r="B14" s="43"/>
      <c r="C14" s="43"/>
      <c r="D14" s="43"/>
      <c r="E14" s="56" t="str">
        <f>""</f>
        <v/>
      </c>
      <c r="F14" s="43"/>
      <c r="G14" s="43"/>
      <c r="H14" s="43"/>
      <c r="I14" s="44" t="str">
        <f>IF(B14="","",COUNTIF('12 Membres'!$B$9:$B$208,B14))</f>
        <v/>
      </c>
      <c r="J14" s="45" t="str">
        <f t="shared" si="0"/>
        <v/>
      </c>
    </row>
    <row r="15" spans="2:10" ht="21" customHeight="1" x14ac:dyDescent="0.25">
      <c r="B15" s="43"/>
      <c r="C15" s="43"/>
      <c r="D15" s="43"/>
      <c r="E15" s="56" t="str">
        <f>""</f>
        <v/>
      </c>
      <c r="F15" s="43"/>
      <c r="G15" s="43"/>
      <c r="H15" s="43"/>
      <c r="I15" s="44" t="str">
        <f>IF(B15="","",COUNTIF('12 Membres'!$B$9:$B$208,B15))</f>
        <v/>
      </c>
      <c r="J15" s="45" t="str">
        <f t="shared" si="0"/>
        <v/>
      </c>
    </row>
    <row r="16" spans="2:10" ht="21" customHeight="1" x14ac:dyDescent="0.25">
      <c r="B16" s="43"/>
      <c r="C16" s="43"/>
      <c r="D16" s="43"/>
      <c r="E16" s="56" t="str">
        <f>""</f>
        <v/>
      </c>
      <c r="F16" s="43"/>
      <c r="G16" s="43"/>
      <c r="H16" s="43"/>
      <c r="I16" s="44" t="str">
        <f>IF(B16="","",COUNTIF('12 Membres'!$B$9:$B$208,B16))</f>
        <v/>
      </c>
      <c r="J16" s="45" t="str">
        <f t="shared" si="0"/>
        <v/>
      </c>
    </row>
    <row r="17" spans="2:10" ht="21" customHeight="1" x14ac:dyDescent="0.25">
      <c r="B17" s="43"/>
      <c r="C17" s="43"/>
      <c r="D17" s="43"/>
      <c r="E17" s="56" t="str">
        <f>""</f>
        <v/>
      </c>
      <c r="F17" s="43"/>
      <c r="G17" s="43"/>
      <c r="H17" s="43"/>
      <c r="I17" s="44" t="str">
        <f>IF(B17="","",COUNTIF('12 Membres'!$B$9:$B$208,B17))</f>
        <v/>
      </c>
      <c r="J17" s="45" t="str">
        <f t="shared" si="0"/>
        <v/>
      </c>
    </row>
    <row r="18" spans="2:10" ht="21" customHeight="1" x14ac:dyDescent="0.25">
      <c r="B18" s="43"/>
      <c r="C18" s="43"/>
      <c r="D18" s="43"/>
      <c r="E18" s="56" t="str">
        <f>""</f>
        <v/>
      </c>
      <c r="F18" s="43"/>
      <c r="G18" s="43"/>
      <c r="H18" s="43"/>
      <c r="I18" s="44" t="str">
        <f>IF(B18="","",COUNTIF('12 Membres'!$B$9:$B$208,B18))</f>
        <v/>
      </c>
      <c r="J18" s="45" t="str">
        <f t="shared" si="0"/>
        <v/>
      </c>
    </row>
    <row r="19" spans="2:10" ht="21" customHeight="1" x14ac:dyDescent="0.25">
      <c r="B19" s="43"/>
      <c r="C19" s="43"/>
      <c r="D19" s="43"/>
      <c r="E19" s="56" t="str">
        <f>""</f>
        <v/>
      </c>
      <c r="F19" s="43"/>
      <c r="G19" s="43"/>
      <c r="H19" s="43"/>
      <c r="I19" s="44" t="str">
        <f>IF(B19="","",COUNTIF('12 Membres'!$B$9:$B$208,B19))</f>
        <v/>
      </c>
      <c r="J19" s="45" t="str">
        <f t="shared" si="0"/>
        <v/>
      </c>
    </row>
    <row r="20" spans="2:10" ht="21" customHeight="1" x14ac:dyDescent="0.25">
      <c r="B20" s="43"/>
      <c r="C20" s="43"/>
      <c r="D20" s="43"/>
      <c r="E20" s="56" t="str">
        <f>""</f>
        <v/>
      </c>
      <c r="F20" s="43"/>
      <c r="G20" s="43"/>
      <c r="H20" s="43"/>
      <c r="I20" s="44" t="str">
        <f>IF(B20="","",COUNTIF('12 Membres'!$B$9:$B$208,B20))</f>
        <v/>
      </c>
      <c r="J20" s="45" t="str">
        <f t="shared" si="0"/>
        <v/>
      </c>
    </row>
    <row r="21" spans="2:10" ht="21" customHeight="1" x14ac:dyDescent="0.25">
      <c r="B21" s="43"/>
      <c r="C21" s="43"/>
      <c r="D21" s="43"/>
      <c r="E21" s="56" t="str">
        <f>""</f>
        <v/>
      </c>
      <c r="F21" s="43"/>
      <c r="G21" s="43"/>
      <c r="H21" s="43"/>
      <c r="I21" s="44" t="str">
        <f>IF(B21="","",COUNTIF('12 Membres'!$B$9:$B$208,B21))</f>
        <v/>
      </c>
      <c r="J21" s="45" t="str">
        <f t="shared" si="0"/>
        <v/>
      </c>
    </row>
    <row r="22" spans="2:10" ht="21" customHeight="1" x14ac:dyDescent="0.25">
      <c r="B22" s="43"/>
      <c r="C22" s="43"/>
      <c r="D22" s="43"/>
      <c r="E22" s="56" t="str">
        <f>""</f>
        <v/>
      </c>
      <c r="F22" s="43"/>
      <c r="G22" s="43"/>
      <c r="H22" s="43"/>
      <c r="I22" s="44" t="str">
        <f>IF(B22="","",COUNTIF('12 Membres'!$B$9:$B$208,B22))</f>
        <v/>
      </c>
      <c r="J22" s="45" t="str">
        <f t="shared" si="0"/>
        <v/>
      </c>
    </row>
    <row r="23" spans="2:10" ht="21" customHeight="1" x14ac:dyDescent="0.25">
      <c r="B23" s="43"/>
      <c r="C23" s="43"/>
      <c r="D23" s="43"/>
      <c r="E23" s="56" t="str">
        <f>""</f>
        <v/>
      </c>
      <c r="F23" s="43"/>
      <c r="G23" s="43"/>
      <c r="H23" s="43"/>
      <c r="I23" s="44" t="str">
        <f>IF(B23="","",COUNTIF('12 Membres'!$B$9:$B$208,B23))</f>
        <v/>
      </c>
      <c r="J23" s="45" t="str">
        <f t="shared" si="0"/>
        <v/>
      </c>
    </row>
    <row r="24" spans="2:10" ht="21" customHeight="1" x14ac:dyDescent="0.25">
      <c r="B24" s="43"/>
      <c r="C24" s="43"/>
      <c r="D24" s="43"/>
      <c r="E24" s="56" t="str">
        <f>""</f>
        <v/>
      </c>
      <c r="F24" s="43"/>
      <c r="G24" s="43"/>
      <c r="H24" s="43"/>
      <c r="I24" s="44" t="str">
        <f>IF(B24="","",COUNTIF('12 Membres'!$B$9:$B$208,B24))</f>
        <v/>
      </c>
      <c r="J24" s="45" t="str">
        <f t="shared" si="0"/>
        <v/>
      </c>
    </row>
    <row r="25" spans="2:10" ht="21" customHeight="1" x14ac:dyDescent="0.25">
      <c r="B25" s="43"/>
      <c r="C25" s="43"/>
      <c r="D25" s="43"/>
      <c r="E25" s="56" t="str">
        <f>""</f>
        <v/>
      </c>
      <c r="F25" s="43"/>
      <c r="G25" s="43"/>
      <c r="H25" s="43"/>
      <c r="I25" s="44" t="str">
        <f>IF(B25="","",COUNTIF('12 Membres'!$B$9:$B$208,B25))</f>
        <v/>
      </c>
      <c r="J25" s="45" t="str">
        <f t="shared" si="0"/>
        <v/>
      </c>
    </row>
    <row r="26" spans="2:10" ht="21" customHeight="1" x14ac:dyDescent="0.25">
      <c r="B26" s="43"/>
      <c r="C26" s="43"/>
      <c r="D26" s="43"/>
      <c r="E26" s="56" t="str">
        <f>""</f>
        <v/>
      </c>
      <c r="F26" s="43"/>
      <c r="G26" s="43"/>
      <c r="H26" s="43"/>
      <c r="I26" s="44" t="str">
        <f>IF(B26="","",COUNTIF('12 Membres'!$B$9:$B$208,B26))</f>
        <v/>
      </c>
      <c r="J26" s="45" t="str">
        <f t="shared" si="0"/>
        <v/>
      </c>
    </row>
    <row r="27" spans="2:10" ht="21" customHeight="1" x14ac:dyDescent="0.25">
      <c r="B27" s="43"/>
      <c r="C27" s="43"/>
      <c r="D27" s="43"/>
      <c r="E27" s="56" t="str">
        <f>""</f>
        <v/>
      </c>
      <c r="F27" s="43"/>
      <c r="G27" s="43"/>
      <c r="H27" s="43"/>
      <c r="I27" s="44" t="str">
        <f>IF(B27="","",COUNTIF('12 Membres'!$B$9:$B$208,B27))</f>
        <v/>
      </c>
      <c r="J27" s="45" t="str">
        <f t="shared" si="0"/>
        <v/>
      </c>
    </row>
    <row r="28" spans="2:10" ht="21" customHeight="1" x14ac:dyDescent="0.25">
      <c r="B28" s="43"/>
      <c r="C28" s="43"/>
      <c r="D28" s="43"/>
      <c r="E28" s="56" t="str">
        <f>""</f>
        <v/>
      </c>
      <c r="F28" s="43"/>
      <c r="G28" s="43"/>
      <c r="H28" s="43"/>
      <c r="I28" s="44" t="str">
        <f>IF(B28="","",COUNTIF('12 Membres'!$B$9:$B$208,B28))</f>
        <v/>
      </c>
      <c r="J28" s="45" t="str">
        <f t="shared" si="0"/>
        <v/>
      </c>
    </row>
  </sheetData>
  <sheetProtection sheet="1" formatColumns="0" formatRows="0" sort="0" autoFilter="0"/>
  <autoFilter ref="B8:J8" xr:uid="{00000000-0009-0000-0000-00000D000000}"/>
  <conditionalFormatting sqref="B9:D28">
    <cfRule type="expression" dxfId="24" priority="1">
      <formula>AND(OR($B9&lt;&gt;"",$C9&lt;&gt;"",$D9&lt;&gt;"",$F9&lt;&gt;"",$G9&lt;&gt;"",$H9&lt;&gt;""),B9="")</formula>
    </cfRule>
  </conditionalFormatting>
  <conditionalFormatting sqref="E9:E28">
    <cfRule type="expression" dxfId="23" priority="10">
      <formula>$D9="Marine"</formula>
    </cfRule>
    <cfRule type="expression" dxfId="22" priority="11">
      <formula>$D9="Sarcelle"</formula>
    </cfRule>
    <cfRule type="expression" dxfId="21" priority="12">
      <formula>$D9="Bleu"</formula>
    </cfRule>
    <cfRule type="expression" dxfId="20" priority="13">
      <formula>$D9="Ambre"</formula>
    </cfRule>
    <cfRule type="expression" dxfId="19" priority="14">
      <formula>$D9="Rouge"</formula>
    </cfRule>
    <cfRule type="expression" dxfId="18" priority="15">
      <formula>$D9="Violet"</formula>
    </cfRule>
    <cfRule type="expression" dxfId="17" priority="16">
      <formula>$D9="Olive"</formula>
    </cfRule>
    <cfRule type="expression" dxfId="16" priority="17">
      <formula>$D9="Gris"</formula>
    </cfRule>
  </conditionalFormatting>
  <conditionalFormatting sqref="F9:F28">
    <cfRule type="expression" dxfId="15" priority="4">
      <formula>AND(OR($B9&lt;&gt;"",$C9&lt;&gt;"",$D9&lt;&gt;"",$F9&lt;&gt;"",$G9&lt;&gt;"",$H9&lt;&gt;""),F9="")</formula>
    </cfRule>
  </conditionalFormatting>
  <dataValidations count="3">
    <dataValidation type="list" allowBlank="1" showErrorMessage="1" errorTitle="Valeur hors liste" error="Choisissez une valeur dans la liste. Elle se remplit à partir de l’onglet correspondant." sqref="D9:D28" xr:uid="{00000000-0002-0000-0D00-000000000000}">
      <formula1>L_Couleur</formula1>
    </dataValidation>
    <dataValidation type="list" allowBlank="1" showErrorMessage="1" errorTitle="Valeur hors liste" error="Choisissez une valeur dans la liste. Elle se remplit à partir de l’onglet correspondant." sqref="F9:F28" xr:uid="{00000000-0002-0000-0D00-000002000000}">
      <formula1>L_Frequence</formula1>
    </dataValidation>
    <dataValidation type="list" allowBlank="1" showErrorMessage="1" errorTitle="Valeur hors liste" error="Choisissez une valeur dans la liste. Elle se remplit à partir de l’onglet correspondant." sqref="G9:G28" xr:uid="{00000000-0002-0000-0D00-000004000000}">
      <formula1>L_Niveau</formula1>
    </dataValidation>
  </dataValidations>
  <hyperlinks>
    <hyperlink ref="J3" location="#'Complétude'!A1" display="↩  Complétude" xr:uid="{00000000-0004-0000-0D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0000000-000E-0000-0D00-000005000000}">
            <xm:f>NOT(ISERROR(SEARCH("⚠",J9)))</xm:f>
            <x14:dxf>
              <font>
                <b/>
                <color rgb="FFC2473B"/>
              </font>
            </x14:dxf>
          </x14:cfRule>
          <x14:cfRule type="containsText" priority="5" operator="containsText" id="{00000000-000E-0000-0D00-000005000000}">
            <xm:f>NOT(ISERROR(SEARCH("◔",J9)))</xm:f>
            <x14:dxf>
              <font>
                <b/>
                <color rgb="FFB26A12"/>
              </font>
            </x14:dxf>
          </x14:cfRule>
          <xm:sqref>J9:J28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A5CC4"/>
    <pageSetUpPr fitToPage="1"/>
  </sheetPr>
  <dimension ref="B1:E20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24" customWidth="1"/>
    <col min="4" max="4" width="19" customWidth="1"/>
    <col min="5" max="5" width="20" customWidth="1"/>
  </cols>
  <sheetData>
    <row r="1" spans="2:5" ht="12" customHeight="1" x14ac:dyDescent="0.25"/>
    <row r="2" spans="2:5" ht="33.950000000000003" customHeight="1" x14ac:dyDescent="0.45">
      <c r="B2" s="1" t="s">
        <v>61</v>
      </c>
      <c r="E2" s="35">
        <f>Complétude!$I31</f>
        <v>0</v>
      </c>
    </row>
    <row r="3" spans="2:5" ht="18" customHeight="1" x14ac:dyDescent="0.25">
      <c r="B3" s="2" t="s">
        <v>275</v>
      </c>
      <c r="E3" s="36" t="s">
        <v>195</v>
      </c>
    </row>
    <row r="4" spans="2:5" ht="18" customHeight="1" x14ac:dyDescent="0.25">
      <c r="B4" t="s">
        <v>276</v>
      </c>
    </row>
    <row r="5" spans="2:5" ht="15.95" customHeight="1" x14ac:dyDescent="0.25">
      <c r="B5" s="37" t="s">
        <v>277</v>
      </c>
    </row>
    <row r="6" spans="2:5" ht="9.9499999999999993" customHeight="1" x14ac:dyDescent="0.25"/>
    <row r="7" spans="2:5" ht="15" customHeight="1" x14ac:dyDescent="0.25">
      <c r="B7" s="38" t="s">
        <v>212</v>
      </c>
      <c r="C7" s="38" t="s">
        <v>212</v>
      </c>
      <c r="D7" s="39" t="s">
        <v>213</v>
      </c>
      <c r="E7" s="40" t="s">
        <v>201</v>
      </c>
    </row>
    <row r="8" spans="2:5" ht="26.1" customHeight="1" x14ac:dyDescent="0.25">
      <c r="B8" s="41" t="s">
        <v>278</v>
      </c>
      <c r="C8" s="41" t="s">
        <v>221</v>
      </c>
      <c r="D8" s="41" t="s">
        <v>279</v>
      </c>
      <c r="E8" s="42" t="s">
        <v>153</v>
      </c>
    </row>
    <row r="9" spans="2:5" ht="21" customHeight="1" x14ac:dyDescent="0.25">
      <c r="B9" s="43"/>
      <c r="C9" s="43"/>
      <c r="D9" s="43"/>
      <c r="E9" s="45" t="str">
        <f t="shared" ref="E9:E40" si="0">IF(B9="","",IF(COUNTIFS($B$9:$B$208,B9,$C$9:$C$208,C9)&gt;1,"⚠ Doublon","✓"))</f>
        <v/>
      </c>
    </row>
    <row r="10" spans="2:5" ht="21" customHeight="1" x14ac:dyDescent="0.25">
      <c r="B10" s="43"/>
      <c r="C10" s="43"/>
      <c r="D10" s="43"/>
      <c r="E10" s="45" t="str">
        <f t="shared" si="0"/>
        <v/>
      </c>
    </row>
    <row r="11" spans="2:5" ht="21" customHeight="1" x14ac:dyDescent="0.25">
      <c r="B11" s="43"/>
      <c r="C11" s="43"/>
      <c r="D11" s="43"/>
      <c r="E11" s="45" t="str">
        <f t="shared" si="0"/>
        <v/>
      </c>
    </row>
    <row r="12" spans="2:5" ht="21" customHeight="1" x14ac:dyDescent="0.25">
      <c r="B12" s="43"/>
      <c r="C12" s="43"/>
      <c r="D12" s="43"/>
      <c r="E12" s="45" t="str">
        <f t="shared" si="0"/>
        <v/>
      </c>
    </row>
    <row r="13" spans="2:5" ht="21" customHeight="1" x14ac:dyDescent="0.25">
      <c r="B13" s="43"/>
      <c r="C13" s="43"/>
      <c r="D13" s="43"/>
      <c r="E13" s="45" t="str">
        <f t="shared" si="0"/>
        <v/>
      </c>
    </row>
    <row r="14" spans="2:5" ht="21" customHeight="1" x14ac:dyDescent="0.25">
      <c r="B14" s="43"/>
      <c r="C14" s="43"/>
      <c r="D14" s="43"/>
      <c r="E14" s="45" t="str">
        <f t="shared" si="0"/>
        <v/>
      </c>
    </row>
    <row r="15" spans="2:5" ht="21" customHeight="1" x14ac:dyDescent="0.25">
      <c r="B15" s="43"/>
      <c r="C15" s="43"/>
      <c r="D15" s="43"/>
      <c r="E15" s="45" t="str">
        <f t="shared" si="0"/>
        <v/>
      </c>
    </row>
    <row r="16" spans="2:5" ht="21" customHeight="1" x14ac:dyDescent="0.25">
      <c r="B16" s="43"/>
      <c r="C16" s="43"/>
      <c r="D16" s="43"/>
      <c r="E16" s="45" t="str">
        <f t="shared" si="0"/>
        <v/>
      </c>
    </row>
    <row r="17" spans="2:5" ht="21" customHeight="1" x14ac:dyDescent="0.25">
      <c r="B17" s="43"/>
      <c r="C17" s="43"/>
      <c r="D17" s="43"/>
      <c r="E17" s="45" t="str">
        <f t="shared" si="0"/>
        <v/>
      </c>
    </row>
    <row r="18" spans="2:5" ht="21" customHeight="1" x14ac:dyDescent="0.25">
      <c r="B18" s="43"/>
      <c r="C18" s="43"/>
      <c r="D18" s="43"/>
      <c r="E18" s="45" t="str">
        <f t="shared" si="0"/>
        <v/>
      </c>
    </row>
    <row r="19" spans="2:5" ht="21" customHeight="1" x14ac:dyDescent="0.25">
      <c r="B19" s="43"/>
      <c r="C19" s="43"/>
      <c r="D19" s="43"/>
      <c r="E19" s="45" t="str">
        <f t="shared" si="0"/>
        <v/>
      </c>
    </row>
    <row r="20" spans="2:5" ht="21" customHeight="1" x14ac:dyDescent="0.25">
      <c r="B20" s="43"/>
      <c r="C20" s="43"/>
      <c r="D20" s="43"/>
      <c r="E20" s="45" t="str">
        <f t="shared" si="0"/>
        <v/>
      </c>
    </row>
    <row r="21" spans="2:5" ht="21" customHeight="1" x14ac:dyDescent="0.25">
      <c r="B21" s="43"/>
      <c r="C21" s="43"/>
      <c r="D21" s="43"/>
      <c r="E21" s="45" t="str">
        <f t="shared" si="0"/>
        <v/>
      </c>
    </row>
    <row r="22" spans="2:5" ht="21" customHeight="1" x14ac:dyDescent="0.25">
      <c r="B22" s="43"/>
      <c r="C22" s="43"/>
      <c r="D22" s="43"/>
      <c r="E22" s="45" t="str">
        <f t="shared" si="0"/>
        <v/>
      </c>
    </row>
    <row r="23" spans="2:5" ht="21" customHeight="1" x14ac:dyDescent="0.25">
      <c r="B23" s="43"/>
      <c r="C23" s="43"/>
      <c r="D23" s="43"/>
      <c r="E23" s="45" t="str">
        <f t="shared" si="0"/>
        <v/>
      </c>
    </row>
    <row r="24" spans="2:5" ht="21" customHeight="1" x14ac:dyDescent="0.25">
      <c r="B24" s="43"/>
      <c r="C24" s="43"/>
      <c r="D24" s="43"/>
      <c r="E24" s="45" t="str">
        <f t="shared" si="0"/>
        <v/>
      </c>
    </row>
    <row r="25" spans="2:5" ht="21" customHeight="1" x14ac:dyDescent="0.25">
      <c r="B25" s="43"/>
      <c r="C25" s="43"/>
      <c r="D25" s="43"/>
      <c r="E25" s="45" t="str">
        <f t="shared" si="0"/>
        <v/>
      </c>
    </row>
    <row r="26" spans="2:5" ht="21" customHeight="1" x14ac:dyDescent="0.25">
      <c r="B26" s="43"/>
      <c r="C26" s="43"/>
      <c r="D26" s="43"/>
      <c r="E26" s="45" t="str">
        <f t="shared" si="0"/>
        <v/>
      </c>
    </row>
    <row r="27" spans="2:5" ht="21" customHeight="1" x14ac:dyDescent="0.25">
      <c r="B27" s="43"/>
      <c r="C27" s="43"/>
      <c r="D27" s="43"/>
      <c r="E27" s="45" t="str">
        <f t="shared" si="0"/>
        <v/>
      </c>
    </row>
    <row r="28" spans="2:5" ht="21" customHeight="1" x14ac:dyDescent="0.25">
      <c r="B28" s="43"/>
      <c r="C28" s="43"/>
      <c r="D28" s="43"/>
      <c r="E28" s="45" t="str">
        <f t="shared" si="0"/>
        <v/>
      </c>
    </row>
    <row r="29" spans="2:5" ht="21" customHeight="1" x14ac:dyDescent="0.25">
      <c r="B29" s="43"/>
      <c r="C29" s="43"/>
      <c r="D29" s="43"/>
      <c r="E29" s="45" t="str">
        <f t="shared" si="0"/>
        <v/>
      </c>
    </row>
    <row r="30" spans="2:5" ht="21" customHeight="1" x14ac:dyDescent="0.25">
      <c r="B30" s="43"/>
      <c r="C30" s="43"/>
      <c r="D30" s="43"/>
      <c r="E30" s="45" t="str">
        <f t="shared" si="0"/>
        <v/>
      </c>
    </row>
    <row r="31" spans="2:5" ht="21" customHeight="1" x14ac:dyDescent="0.25">
      <c r="B31" s="43"/>
      <c r="C31" s="43"/>
      <c r="D31" s="43"/>
      <c r="E31" s="45" t="str">
        <f t="shared" si="0"/>
        <v/>
      </c>
    </row>
    <row r="32" spans="2:5" ht="21" customHeight="1" x14ac:dyDescent="0.25">
      <c r="B32" s="43"/>
      <c r="C32" s="43"/>
      <c r="D32" s="43"/>
      <c r="E32" s="45" t="str">
        <f t="shared" si="0"/>
        <v/>
      </c>
    </row>
    <row r="33" spans="2:5" ht="21" customHeight="1" x14ac:dyDescent="0.25">
      <c r="B33" s="43"/>
      <c r="C33" s="43"/>
      <c r="D33" s="43"/>
      <c r="E33" s="45" t="str">
        <f t="shared" si="0"/>
        <v/>
      </c>
    </row>
    <row r="34" spans="2:5" ht="21" customHeight="1" x14ac:dyDescent="0.25">
      <c r="B34" s="43"/>
      <c r="C34" s="43"/>
      <c r="D34" s="43"/>
      <c r="E34" s="45" t="str">
        <f t="shared" si="0"/>
        <v/>
      </c>
    </row>
    <row r="35" spans="2:5" ht="21" customHeight="1" x14ac:dyDescent="0.25">
      <c r="B35" s="43"/>
      <c r="C35" s="43"/>
      <c r="D35" s="43"/>
      <c r="E35" s="45" t="str">
        <f t="shared" si="0"/>
        <v/>
      </c>
    </row>
    <row r="36" spans="2:5" ht="21" customHeight="1" x14ac:dyDescent="0.25">
      <c r="B36" s="43"/>
      <c r="C36" s="43"/>
      <c r="D36" s="43"/>
      <c r="E36" s="45" t="str">
        <f t="shared" si="0"/>
        <v/>
      </c>
    </row>
    <row r="37" spans="2:5" ht="21" customHeight="1" x14ac:dyDescent="0.25">
      <c r="B37" s="43"/>
      <c r="C37" s="43"/>
      <c r="D37" s="43"/>
      <c r="E37" s="45" t="str">
        <f t="shared" si="0"/>
        <v/>
      </c>
    </row>
    <row r="38" spans="2:5" ht="21" customHeight="1" x14ac:dyDescent="0.25">
      <c r="B38" s="43"/>
      <c r="C38" s="43"/>
      <c r="D38" s="43"/>
      <c r="E38" s="45" t="str">
        <f t="shared" si="0"/>
        <v/>
      </c>
    </row>
    <row r="39" spans="2:5" ht="21" customHeight="1" x14ac:dyDescent="0.25">
      <c r="B39" s="43"/>
      <c r="C39" s="43"/>
      <c r="D39" s="43"/>
      <c r="E39" s="45" t="str">
        <f t="shared" si="0"/>
        <v/>
      </c>
    </row>
    <row r="40" spans="2:5" ht="21" customHeight="1" x14ac:dyDescent="0.25">
      <c r="B40" s="43"/>
      <c r="C40" s="43"/>
      <c r="D40" s="43"/>
      <c r="E40" s="45" t="str">
        <f t="shared" si="0"/>
        <v/>
      </c>
    </row>
    <row r="41" spans="2:5" ht="21" customHeight="1" x14ac:dyDescent="0.25">
      <c r="B41" s="43"/>
      <c r="C41" s="43"/>
      <c r="D41" s="43"/>
      <c r="E41" s="45" t="str">
        <f t="shared" ref="E41:E72" si="1">IF(B41="","",IF(COUNTIFS($B$9:$B$208,B41,$C$9:$C$208,C41)&gt;1,"⚠ Doublon","✓"))</f>
        <v/>
      </c>
    </row>
    <row r="42" spans="2:5" ht="21" customHeight="1" x14ac:dyDescent="0.25">
      <c r="B42" s="43"/>
      <c r="C42" s="43"/>
      <c r="D42" s="43"/>
      <c r="E42" s="45" t="str">
        <f t="shared" si="1"/>
        <v/>
      </c>
    </row>
    <row r="43" spans="2:5" ht="21" customHeight="1" x14ac:dyDescent="0.25">
      <c r="B43" s="43"/>
      <c r="C43" s="43"/>
      <c r="D43" s="43"/>
      <c r="E43" s="45" t="str">
        <f t="shared" si="1"/>
        <v/>
      </c>
    </row>
    <row r="44" spans="2:5" ht="21" customHeight="1" x14ac:dyDescent="0.25">
      <c r="B44" s="43"/>
      <c r="C44" s="43"/>
      <c r="D44" s="43"/>
      <c r="E44" s="45" t="str">
        <f t="shared" si="1"/>
        <v/>
      </c>
    </row>
    <row r="45" spans="2:5" ht="21" customHeight="1" x14ac:dyDescent="0.25">
      <c r="B45" s="43"/>
      <c r="C45" s="43"/>
      <c r="D45" s="43"/>
      <c r="E45" s="45" t="str">
        <f t="shared" si="1"/>
        <v/>
      </c>
    </row>
    <row r="46" spans="2:5" ht="21" customHeight="1" x14ac:dyDescent="0.25">
      <c r="B46" s="43"/>
      <c r="C46" s="43"/>
      <c r="D46" s="43"/>
      <c r="E46" s="45" t="str">
        <f t="shared" si="1"/>
        <v/>
      </c>
    </row>
    <row r="47" spans="2:5" ht="21" customHeight="1" x14ac:dyDescent="0.25">
      <c r="B47" s="43"/>
      <c r="C47" s="43"/>
      <c r="D47" s="43"/>
      <c r="E47" s="45" t="str">
        <f t="shared" si="1"/>
        <v/>
      </c>
    </row>
    <row r="48" spans="2:5" ht="21" customHeight="1" x14ac:dyDescent="0.25">
      <c r="B48" s="43"/>
      <c r="C48" s="43"/>
      <c r="D48" s="43"/>
      <c r="E48" s="45" t="str">
        <f t="shared" si="1"/>
        <v/>
      </c>
    </row>
    <row r="49" spans="2:5" ht="21" customHeight="1" x14ac:dyDescent="0.25">
      <c r="B49" s="43"/>
      <c r="C49" s="43"/>
      <c r="D49" s="43"/>
      <c r="E49" s="45" t="str">
        <f t="shared" si="1"/>
        <v/>
      </c>
    </row>
    <row r="50" spans="2:5" ht="21" customHeight="1" x14ac:dyDescent="0.25">
      <c r="B50" s="43"/>
      <c r="C50" s="43"/>
      <c r="D50" s="43"/>
      <c r="E50" s="45" t="str">
        <f t="shared" si="1"/>
        <v/>
      </c>
    </row>
    <row r="51" spans="2:5" ht="21" customHeight="1" x14ac:dyDescent="0.25">
      <c r="B51" s="43"/>
      <c r="C51" s="43"/>
      <c r="D51" s="43"/>
      <c r="E51" s="45" t="str">
        <f t="shared" si="1"/>
        <v/>
      </c>
    </row>
    <row r="52" spans="2:5" ht="21" customHeight="1" x14ac:dyDescent="0.25">
      <c r="B52" s="43"/>
      <c r="C52" s="43"/>
      <c r="D52" s="43"/>
      <c r="E52" s="45" t="str">
        <f t="shared" si="1"/>
        <v/>
      </c>
    </row>
    <row r="53" spans="2:5" ht="21" customHeight="1" x14ac:dyDescent="0.25">
      <c r="B53" s="43"/>
      <c r="C53" s="43"/>
      <c r="D53" s="43"/>
      <c r="E53" s="45" t="str">
        <f t="shared" si="1"/>
        <v/>
      </c>
    </row>
    <row r="54" spans="2:5" ht="21" customHeight="1" x14ac:dyDescent="0.25">
      <c r="B54" s="43"/>
      <c r="C54" s="43"/>
      <c r="D54" s="43"/>
      <c r="E54" s="45" t="str">
        <f t="shared" si="1"/>
        <v/>
      </c>
    </row>
    <row r="55" spans="2:5" ht="21" customHeight="1" x14ac:dyDescent="0.25">
      <c r="B55" s="43"/>
      <c r="C55" s="43"/>
      <c r="D55" s="43"/>
      <c r="E55" s="45" t="str">
        <f t="shared" si="1"/>
        <v/>
      </c>
    </row>
    <row r="56" spans="2:5" ht="21" customHeight="1" x14ac:dyDescent="0.25">
      <c r="B56" s="43"/>
      <c r="C56" s="43"/>
      <c r="D56" s="43"/>
      <c r="E56" s="45" t="str">
        <f t="shared" si="1"/>
        <v/>
      </c>
    </row>
    <row r="57" spans="2:5" ht="21" customHeight="1" x14ac:dyDescent="0.25">
      <c r="B57" s="43"/>
      <c r="C57" s="43"/>
      <c r="D57" s="43"/>
      <c r="E57" s="45" t="str">
        <f t="shared" si="1"/>
        <v/>
      </c>
    </row>
    <row r="58" spans="2:5" ht="21" customHeight="1" x14ac:dyDescent="0.25">
      <c r="B58" s="43"/>
      <c r="C58" s="43"/>
      <c r="D58" s="43"/>
      <c r="E58" s="45" t="str">
        <f t="shared" si="1"/>
        <v/>
      </c>
    </row>
    <row r="59" spans="2:5" ht="21" customHeight="1" x14ac:dyDescent="0.25">
      <c r="B59" s="43"/>
      <c r="C59" s="43"/>
      <c r="D59" s="43"/>
      <c r="E59" s="45" t="str">
        <f t="shared" si="1"/>
        <v/>
      </c>
    </row>
    <row r="60" spans="2:5" ht="21" customHeight="1" x14ac:dyDescent="0.25">
      <c r="B60" s="43"/>
      <c r="C60" s="43"/>
      <c r="D60" s="43"/>
      <c r="E60" s="45" t="str">
        <f t="shared" si="1"/>
        <v/>
      </c>
    </row>
    <row r="61" spans="2:5" ht="21" customHeight="1" x14ac:dyDescent="0.25">
      <c r="B61" s="43"/>
      <c r="C61" s="43"/>
      <c r="D61" s="43"/>
      <c r="E61" s="45" t="str">
        <f t="shared" si="1"/>
        <v/>
      </c>
    </row>
    <row r="62" spans="2:5" ht="21" customHeight="1" x14ac:dyDescent="0.25">
      <c r="B62" s="43"/>
      <c r="C62" s="43"/>
      <c r="D62" s="43"/>
      <c r="E62" s="45" t="str">
        <f t="shared" si="1"/>
        <v/>
      </c>
    </row>
    <row r="63" spans="2:5" ht="21" customHeight="1" x14ac:dyDescent="0.25">
      <c r="B63" s="43"/>
      <c r="C63" s="43"/>
      <c r="D63" s="43"/>
      <c r="E63" s="45" t="str">
        <f t="shared" si="1"/>
        <v/>
      </c>
    </row>
    <row r="64" spans="2:5" ht="21" customHeight="1" x14ac:dyDescent="0.25">
      <c r="B64" s="43"/>
      <c r="C64" s="43"/>
      <c r="D64" s="43"/>
      <c r="E64" s="45" t="str">
        <f t="shared" si="1"/>
        <v/>
      </c>
    </row>
    <row r="65" spans="2:5" ht="21" customHeight="1" x14ac:dyDescent="0.25">
      <c r="B65" s="43"/>
      <c r="C65" s="43"/>
      <c r="D65" s="43"/>
      <c r="E65" s="45" t="str">
        <f t="shared" si="1"/>
        <v/>
      </c>
    </row>
    <row r="66" spans="2:5" ht="21" customHeight="1" x14ac:dyDescent="0.25">
      <c r="B66" s="43"/>
      <c r="C66" s="43"/>
      <c r="D66" s="43"/>
      <c r="E66" s="45" t="str">
        <f t="shared" si="1"/>
        <v/>
      </c>
    </row>
    <row r="67" spans="2:5" ht="21" customHeight="1" x14ac:dyDescent="0.25">
      <c r="B67" s="43"/>
      <c r="C67" s="43"/>
      <c r="D67" s="43"/>
      <c r="E67" s="45" t="str">
        <f t="shared" si="1"/>
        <v/>
      </c>
    </row>
    <row r="68" spans="2:5" ht="21" customHeight="1" x14ac:dyDescent="0.25">
      <c r="B68" s="43"/>
      <c r="C68" s="43"/>
      <c r="D68" s="43"/>
      <c r="E68" s="45" t="str">
        <f t="shared" si="1"/>
        <v/>
      </c>
    </row>
    <row r="69" spans="2:5" ht="21" customHeight="1" x14ac:dyDescent="0.25">
      <c r="B69" s="43"/>
      <c r="C69" s="43"/>
      <c r="D69" s="43"/>
      <c r="E69" s="45" t="str">
        <f t="shared" si="1"/>
        <v/>
      </c>
    </row>
    <row r="70" spans="2:5" ht="21" customHeight="1" x14ac:dyDescent="0.25">
      <c r="B70" s="43"/>
      <c r="C70" s="43"/>
      <c r="D70" s="43"/>
      <c r="E70" s="45" t="str">
        <f t="shared" si="1"/>
        <v/>
      </c>
    </row>
    <row r="71" spans="2:5" ht="21" customHeight="1" x14ac:dyDescent="0.25">
      <c r="B71" s="43"/>
      <c r="C71" s="43"/>
      <c r="D71" s="43"/>
      <c r="E71" s="45" t="str">
        <f t="shared" si="1"/>
        <v/>
      </c>
    </row>
    <row r="72" spans="2:5" ht="21" customHeight="1" x14ac:dyDescent="0.25">
      <c r="B72" s="43"/>
      <c r="C72" s="43"/>
      <c r="D72" s="43"/>
      <c r="E72" s="45" t="str">
        <f t="shared" si="1"/>
        <v/>
      </c>
    </row>
    <row r="73" spans="2:5" ht="21" customHeight="1" x14ac:dyDescent="0.25">
      <c r="B73" s="43"/>
      <c r="C73" s="43"/>
      <c r="D73" s="43"/>
      <c r="E73" s="45" t="str">
        <f t="shared" ref="E73:E104" si="2">IF(B73="","",IF(COUNTIFS($B$9:$B$208,B73,$C$9:$C$208,C73)&gt;1,"⚠ Doublon","✓"))</f>
        <v/>
      </c>
    </row>
    <row r="74" spans="2:5" ht="21" customHeight="1" x14ac:dyDescent="0.25">
      <c r="B74" s="43"/>
      <c r="C74" s="43"/>
      <c r="D74" s="43"/>
      <c r="E74" s="45" t="str">
        <f t="shared" si="2"/>
        <v/>
      </c>
    </row>
    <row r="75" spans="2:5" ht="21" customHeight="1" x14ac:dyDescent="0.25">
      <c r="B75" s="43"/>
      <c r="C75" s="43"/>
      <c r="D75" s="43"/>
      <c r="E75" s="45" t="str">
        <f t="shared" si="2"/>
        <v/>
      </c>
    </row>
    <row r="76" spans="2:5" ht="21" customHeight="1" x14ac:dyDescent="0.25">
      <c r="B76" s="43"/>
      <c r="C76" s="43"/>
      <c r="D76" s="43"/>
      <c r="E76" s="45" t="str">
        <f t="shared" si="2"/>
        <v/>
      </c>
    </row>
    <row r="77" spans="2:5" ht="21" customHeight="1" x14ac:dyDescent="0.25">
      <c r="B77" s="43"/>
      <c r="C77" s="43"/>
      <c r="D77" s="43"/>
      <c r="E77" s="45" t="str">
        <f t="shared" si="2"/>
        <v/>
      </c>
    </row>
    <row r="78" spans="2:5" ht="21" customHeight="1" x14ac:dyDescent="0.25">
      <c r="B78" s="43"/>
      <c r="C78" s="43"/>
      <c r="D78" s="43"/>
      <c r="E78" s="45" t="str">
        <f t="shared" si="2"/>
        <v/>
      </c>
    </row>
    <row r="79" spans="2:5" ht="21" customHeight="1" x14ac:dyDescent="0.25">
      <c r="B79" s="43"/>
      <c r="C79" s="43"/>
      <c r="D79" s="43"/>
      <c r="E79" s="45" t="str">
        <f t="shared" si="2"/>
        <v/>
      </c>
    </row>
    <row r="80" spans="2:5" ht="21" customHeight="1" x14ac:dyDescent="0.25">
      <c r="B80" s="43"/>
      <c r="C80" s="43"/>
      <c r="D80" s="43"/>
      <c r="E80" s="45" t="str">
        <f t="shared" si="2"/>
        <v/>
      </c>
    </row>
    <row r="81" spans="2:5" ht="21" customHeight="1" x14ac:dyDescent="0.25">
      <c r="B81" s="43"/>
      <c r="C81" s="43"/>
      <c r="D81" s="43"/>
      <c r="E81" s="45" t="str">
        <f t="shared" si="2"/>
        <v/>
      </c>
    </row>
    <row r="82" spans="2:5" ht="21" customHeight="1" x14ac:dyDescent="0.25">
      <c r="B82" s="43"/>
      <c r="C82" s="43"/>
      <c r="D82" s="43"/>
      <c r="E82" s="45" t="str">
        <f t="shared" si="2"/>
        <v/>
      </c>
    </row>
    <row r="83" spans="2:5" ht="21" customHeight="1" x14ac:dyDescent="0.25">
      <c r="B83" s="43"/>
      <c r="C83" s="43"/>
      <c r="D83" s="43"/>
      <c r="E83" s="45" t="str">
        <f t="shared" si="2"/>
        <v/>
      </c>
    </row>
    <row r="84" spans="2:5" ht="21" customHeight="1" x14ac:dyDescent="0.25">
      <c r="B84" s="43"/>
      <c r="C84" s="43"/>
      <c r="D84" s="43"/>
      <c r="E84" s="45" t="str">
        <f t="shared" si="2"/>
        <v/>
      </c>
    </row>
    <row r="85" spans="2:5" ht="21" customHeight="1" x14ac:dyDescent="0.25">
      <c r="B85" s="43"/>
      <c r="C85" s="43"/>
      <c r="D85" s="43"/>
      <c r="E85" s="45" t="str">
        <f t="shared" si="2"/>
        <v/>
      </c>
    </row>
    <row r="86" spans="2:5" ht="21" customHeight="1" x14ac:dyDescent="0.25">
      <c r="B86" s="43"/>
      <c r="C86" s="43"/>
      <c r="D86" s="43"/>
      <c r="E86" s="45" t="str">
        <f t="shared" si="2"/>
        <v/>
      </c>
    </row>
    <row r="87" spans="2:5" ht="21" customHeight="1" x14ac:dyDescent="0.25">
      <c r="B87" s="43"/>
      <c r="C87" s="43"/>
      <c r="D87" s="43"/>
      <c r="E87" s="45" t="str">
        <f t="shared" si="2"/>
        <v/>
      </c>
    </row>
    <row r="88" spans="2:5" ht="21" customHeight="1" x14ac:dyDescent="0.25">
      <c r="B88" s="43"/>
      <c r="C88" s="43"/>
      <c r="D88" s="43"/>
      <c r="E88" s="45" t="str">
        <f t="shared" si="2"/>
        <v/>
      </c>
    </row>
    <row r="89" spans="2:5" ht="21" customHeight="1" x14ac:dyDescent="0.25">
      <c r="B89" s="43"/>
      <c r="C89" s="43"/>
      <c r="D89" s="43"/>
      <c r="E89" s="45" t="str">
        <f t="shared" si="2"/>
        <v/>
      </c>
    </row>
    <row r="90" spans="2:5" ht="21" customHeight="1" x14ac:dyDescent="0.25">
      <c r="B90" s="43"/>
      <c r="C90" s="43"/>
      <c r="D90" s="43"/>
      <c r="E90" s="45" t="str">
        <f t="shared" si="2"/>
        <v/>
      </c>
    </row>
    <row r="91" spans="2:5" ht="21" customHeight="1" x14ac:dyDescent="0.25">
      <c r="B91" s="43"/>
      <c r="C91" s="43"/>
      <c r="D91" s="43"/>
      <c r="E91" s="45" t="str">
        <f t="shared" si="2"/>
        <v/>
      </c>
    </row>
    <row r="92" spans="2:5" ht="21" customHeight="1" x14ac:dyDescent="0.25">
      <c r="B92" s="43"/>
      <c r="C92" s="43"/>
      <c r="D92" s="43"/>
      <c r="E92" s="45" t="str">
        <f t="shared" si="2"/>
        <v/>
      </c>
    </row>
    <row r="93" spans="2:5" ht="21" customHeight="1" x14ac:dyDescent="0.25">
      <c r="B93" s="43"/>
      <c r="C93" s="43"/>
      <c r="D93" s="43"/>
      <c r="E93" s="45" t="str">
        <f t="shared" si="2"/>
        <v/>
      </c>
    </row>
    <row r="94" spans="2:5" ht="21" customHeight="1" x14ac:dyDescent="0.25">
      <c r="B94" s="43"/>
      <c r="C94" s="43"/>
      <c r="D94" s="43"/>
      <c r="E94" s="45" t="str">
        <f t="shared" si="2"/>
        <v/>
      </c>
    </row>
    <row r="95" spans="2:5" ht="21" customHeight="1" x14ac:dyDescent="0.25">
      <c r="B95" s="43"/>
      <c r="C95" s="43"/>
      <c r="D95" s="43"/>
      <c r="E95" s="45" t="str">
        <f t="shared" si="2"/>
        <v/>
      </c>
    </row>
    <row r="96" spans="2:5" ht="21" customHeight="1" x14ac:dyDescent="0.25">
      <c r="B96" s="43"/>
      <c r="C96" s="43"/>
      <c r="D96" s="43"/>
      <c r="E96" s="45" t="str">
        <f t="shared" si="2"/>
        <v/>
      </c>
    </row>
    <row r="97" spans="2:5" ht="21" customHeight="1" x14ac:dyDescent="0.25">
      <c r="B97" s="43"/>
      <c r="C97" s="43"/>
      <c r="D97" s="43"/>
      <c r="E97" s="45" t="str">
        <f t="shared" si="2"/>
        <v/>
      </c>
    </row>
    <row r="98" spans="2:5" ht="21" customHeight="1" x14ac:dyDescent="0.25">
      <c r="B98" s="43"/>
      <c r="C98" s="43"/>
      <c r="D98" s="43"/>
      <c r="E98" s="45" t="str">
        <f t="shared" si="2"/>
        <v/>
      </c>
    </row>
    <row r="99" spans="2:5" ht="21" customHeight="1" x14ac:dyDescent="0.25">
      <c r="B99" s="43"/>
      <c r="C99" s="43"/>
      <c r="D99" s="43"/>
      <c r="E99" s="45" t="str">
        <f t="shared" si="2"/>
        <v/>
      </c>
    </row>
    <row r="100" spans="2:5" ht="21" customHeight="1" x14ac:dyDescent="0.25">
      <c r="B100" s="43"/>
      <c r="C100" s="43"/>
      <c r="D100" s="43"/>
      <c r="E100" s="45" t="str">
        <f t="shared" si="2"/>
        <v/>
      </c>
    </row>
    <row r="101" spans="2:5" ht="21" customHeight="1" x14ac:dyDescent="0.25">
      <c r="B101" s="43"/>
      <c r="C101" s="43"/>
      <c r="D101" s="43"/>
      <c r="E101" s="45" t="str">
        <f t="shared" si="2"/>
        <v/>
      </c>
    </row>
    <row r="102" spans="2:5" ht="21" customHeight="1" x14ac:dyDescent="0.25">
      <c r="B102" s="43"/>
      <c r="C102" s="43"/>
      <c r="D102" s="43"/>
      <c r="E102" s="45" t="str">
        <f t="shared" si="2"/>
        <v/>
      </c>
    </row>
    <row r="103" spans="2:5" ht="21" customHeight="1" x14ac:dyDescent="0.25">
      <c r="B103" s="43"/>
      <c r="C103" s="43"/>
      <c r="D103" s="43"/>
      <c r="E103" s="45" t="str">
        <f t="shared" si="2"/>
        <v/>
      </c>
    </row>
    <row r="104" spans="2:5" ht="21" customHeight="1" x14ac:dyDescent="0.25">
      <c r="B104" s="43"/>
      <c r="C104" s="43"/>
      <c r="D104" s="43"/>
      <c r="E104" s="45" t="str">
        <f t="shared" si="2"/>
        <v/>
      </c>
    </row>
    <row r="105" spans="2:5" ht="21" customHeight="1" x14ac:dyDescent="0.25">
      <c r="B105" s="43"/>
      <c r="C105" s="43"/>
      <c r="D105" s="43"/>
      <c r="E105" s="45" t="str">
        <f t="shared" ref="E105:E136" si="3">IF(B105="","",IF(COUNTIFS($B$9:$B$208,B105,$C$9:$C$208,C105)&gt;1,"⚠ Doublon","✓"))</f>
        <v/>
      </c>
    </row>
    <row r="106" spans="2:5" ht="21" customHeight="1" x14ac:dyDescent="0.25">
      <c r="B106" s="43"/>
      <c r="C106" s="43"/>
      <c r="D106" s="43"/>
      <c r="E106" s="45" t="str">
        <f t="shared" si="3"/>
        <v/>
      </c>
    </row>
    <row r="107" spans="2:5" ht="21" customHeight="1" x14ac:dyDescent="0.25">
      <c r="B107" s="43"/>
      <c r="C107" s="43"/>
      <c r="D107" s="43"/>
      <c r="E107" s="45" t="str">
        <f t="shared" si="3"/>
        <v/>
      </c>
    </row>
    <row r="108" spans="2:5" ht="21" customHeight="1" x14ac:dyDescent="0.25">
      <c r="B108" s="43"/>
      <c r="C108" s="43"/>
      <c r="D108" s="43"/>
      <c r="E108" s="45" t="str">
        <f t="shared" si="3"/>
        <v/>
      </c>
    </row>
    <row r="109" spans="2:5" ht="21" customHeight="1" x14ac:dyDescent="0.25">
      <c r="B109" s="43"/>
      <c r="C109" s="43"/>
      <c r="D109" s="43"/>
      <c r="E109" s="45" t="str">
        <f t="shared" si="3"/>
        <v/>
      </c>
    </row>
    <row r="110" spans="2:5" ht="21" customHeight="1" x14ac:dyDescent="0.25">
      <c r="B110" s="43"/>
      <c r="C110" s="43"/>
      <c r="D110" s="43"/>
      <c r="E110" s="45" t="str">
        <f t="shared" si="3"/>
        <v/>
      </c>
    </row>
    <row r="111" spans="2:5" ht="21" customHeight="1" x14ac:dyDescent="0.25">
      <c r="B111" s="43"/>
      <c r="C111" s="43"/>
      <c r="D111" s="43"/>
      <c r="E111" s="45" t="str">
        <f t="shared" si="3"/>
        <v/>
      </c>
    </row>
    <row r="112" spans="2:5" ht="21" customHeight="1" x14ac:dyDescent="0.25">
      <c r="B112" s="43"/>
      <c r="C112" s="43"/>
      <c r="D112" s="43"/>
      <c r="E112" s="45" t="str">
        <f t="shared" si="3"/>
        <v/>
      </c>
    </row>
    <row r="113" spans="2:5" ht="21" customHeight="1" x14ac:dyDescent="0.25">
      <c r="B113" s="43"/>
      <c r="C113" s="43"/>
      <c r="D113" s="43"/>
      <c r="E113" s="45" t="str">
        <f t="shared" si="3"/>
        <v/>
      </c>
    </row>
    <row r="114" spans="2:5" ht="21" customHeight="1" x14ac:dyDescent="0.25">
      <c r="B114" s="43"/>
      <c r="C114" s="43"/>
      <c r="D114" s="43"/>
      <c r="E114" s="45" t="str">
        <f t="shared" si="3"/>
        <v/>
      </c>
    </row>
    <row r="115" spans="2:5" ht="21" customHeight="1" x14ac:dyDescent="0.25">
      <c r="B115" s="43"/>
      <c r="C115" s="43"/>
      <c r="D115" s="43"/>
      <c r="E115" s="45" t="str">
        <f t="shared" si="3"/>
        <v/>
      </c>
    </row>
    <row r="116" spans="2:5" ht="21" customHeight="1" x14ac:dyDescent="0.25">
      <c r="B116" s="43"/>
      <c r="C116" s="43"/>
      <c r="D116" s="43"/>
      <c r="E116" s="45" t="str">
        <f t="shared" si="3"/>
        <v/>
      </c>
    </row>
    <row r="117" spans="2:5" ht="21" customHeight="1" x14ac:dyDescent="0.25">
      <c r="B117" s="43"/>
      <c r="C117" s="43"/>
      <c r="D117" s="43"/>
      <c r="E117" s="45" t="str">
        <f t="shared" si="3"/>
        <v/>
      </c>
    </row>
    <row r="118" spans="2:5" ht="21" customHeight="1" x14ac:dyDescent="0.25">
      <c r="B118" s="43"/>
      <c r="C118" s="43"/>
      <c r="D118" s="43"/>
      <c r="E118" s="45" t="str">
        <f t="shared" si="3"/>
        <v/>
      </c>
    </row>
    <row r="119" spans="2:5" ht="21" customHeight="1" x14ac:dyDescent="0.25">
      <c r="B119" s="43"/>
      <c r="C119" s="43"/>
      <c r="D119" s="43"/>
      <c r="E119" s="45" t="str">
        <f t="shared" si="3"/>
        <v/>
      </c>
    </row>
    <row r="120" spans="2:5" ht="21" customHeight="1" x14ac:dyDescent="0.25">
      <c r="B120" s="43"/>
      <c r="C120" s="43"/>
      <c r="D120" s="43"/>
      <c r="E120" s="45" t="str">
        <f t="shared" si="3"/>
        <v/>
      </c>
    </row>
    <row r="121" spans="2:5" ht="21" customHeight="1" x14ac:dyDescent="0.25">
      <c r="B121" s="43"/>
      <c r="C121" s="43"/>
      <c r="D121" s="43"/>
      <c r="E121" s="45" t="str">
        <f t="shared" si="3"/>
        <v/>
      </c>
    </row>
    <row r="122" spans="2:5" ht="21" customHeight="1" x14ac:dyDescent="0.25">
      <c r="B122" s="43"/>
      <c r="C122" s="43"/>
      <c r="D122" s="43"/>
      <c r="E122" s="45" t="str">
        <f t="shared" si="3"/>
        <v/>
      </c>
    </row>
    <row r="123" spans="2:5" ht="21" customHeight="1" x14ac:dyDescent="0.25">
      <c r="B123" s="43"/>
      <c r="C123" s="43"/>
      <c r="D123" s="43"/>
      <c r="E123" s="45" t="str">
        <f t="shared" si="3"/>
        <v/>
      </c>
    </row>
    <row r="124" spans="2:5" ht="21" customHeight="1" x14ac:dyDescent="0.25">
      <c r="B124" s="43"/>
      <c r="C124" s="43"/>
      <c r="D124" s="43"/>
      <c r="E124" s="45" t="str">
        <f t="shared" si="3"/>
        <v/>
      </c>
    </row>
    <row r="125" spans="2:5" ht="21" customHeight="1" x14ac:dyDescent="0.25">
      <c r="B125" s="43"/>
      <c r="C125" s="43"/>
      <c r="D125" s="43"/>
      <c r="E125" s="45" t="str">
        <f t="shared" si="3"/>
        <v/>
      </c>
    </row>
    <row r="126" spans="2:5" ht="21" customHeight="1" x14ac:dyDescent="0.25">
      <c r="B126" s="43"/>
      <c r="C126" s="43"/>
      <c r="D126" s="43"/>
      <c r="E126" s="45" t="str">
        <f t="shared" si="3"/>
        <v/>
      </c>
    </row>
    <row r="127" spans="2:5" ht="21" customHeight="1" x14ac:dyDescent="0.25">
      <c r="B127" s="43"/>
      <c r="C127" s="43"/>
      <c r="D127" s="43"/>
      <c r="E127" s="45" t="str">
        <f t="shared" si="3"/>
        <v/>
      </c>
    </row>
    <row r="128" spans="2:5" ht="21" customHeight="1" x14ac:dyDescent="0.25">
      <c r="B128" s="43"/>
      <c r="C128" s="43"/>
      <c r="D128" s="43"/>
      <c r="E128" s="45" t="str">
        <f t="shared" si="3"/>
        <v/>
      </c>
    </row>
    <row r="129" spans="2:5" ht="21" customHeight="1" x14ac:dyDescent="0.25">
      <c r="B129" s="43"/>
      <c r="C129" s="43"/>
      <c r="D129" s="43"/>
      <c r="E129" s="45" t="str">
        <f t="shared" si="3"/>
        <v/>
      </c>
    </row>
    <row r="130" spans="2:5" ht="21" customHeight="1" x14ac:dyDescent="0.25">
      <c r="B130" s="43"/>
      <c r="C130" s="43"/>
      <c r="D130" s="43"/>
      <c r="E130" s="45" t="str">
        <f t="shared" si="3"/>
        <v/>
      </c>
    </row>
    <row r="131" spans="2:5" ht="21" customHeight="1" x14ac:dyDescent="0.25">
      <c r="B131" s="43"/>
      <c r="C131" s="43"/>
      <c r="D131" s="43"/>
      <c r="E131" s="45" t="str">
        <f t="shared" si="3"/>
        <v/>
      </c>
    </row>
    <row r="132" spans="2:5" ht="21" customHeight="1" x14ac:dyDescent="0.25">
      <c r="B132" s="43"/>
      <c r="C132" s="43"/>
      <c r="D132" s="43"/>
      <c r="E132" s="45" t="str">
        <f t="shared" si="3"/>
        <v/>
      </c>
    </row>
    <row r="133" spans="2:5" ht="21" customHeight="1" x14ac:dyDescent="0.25">
      <c r="B133" s="43"/>
      <c r="C133" s="43"/>
      <c r="D133" s="43"/>
      <c r="E133" s="45" t="str">
        <f t="shared" si="3"/>
        <v/>
      </c>
    </row>
    <row r="134" spans="2:5" ht="21" customHeight="1" x14ac:dyDescent="0.25">
      <c r="B134" s="43"/>
      <c r="C134" s="43"/>
      <c r="D134" s="43"/>
      <c r="E134" s="45" t="str">
        <f t="shared" si="3"/>
        <v/>
      </c>
    </row>
    <row r="135" spans="2:5" ht="21" customHeight="1" x14ac:dyDescent="0.25">
      <c r="B135" s="43"/>
      <c r="C135" s="43"/>
      <c r="D135" s="43"/>
      <c r="E135" s="45" t="str">
        <f t="shared" si="3"/>
        <v/>
      </c>
    </row>
    <row r="136" spans="2:5" ht="21" customHeight="1" x14ac:dyDescent="0.25">
      <c r="B136" s="43"/>
      <c r="C136" s="43"/>
      <c r="D136" s="43"/>
      <c r="E136" s="45" t="str">
        <f t="shared" si="3"/>
        <v/>
      </c>
    </row>
    <row r="137" spans="2:5" ht="21" customHeight="1" x14ac:dyDescent="0.25">
      <c r="B137" s="43"/>
      <c r="C137" s="43"/>
      <c r="D137" s="43"/>
      <c r="E137" s="45" t="str">
        <f t="shared" ref="E137:E168" si="4">IF(B137="","",IF(COUNTIFS($B$9:$B$208,B137,$C$9:$C$208,C137)&gt;1,"⚠ Doublon","✓"))</f>
        <v/>
      </c>
    </row>
    <row r="138" spans="2:5" ht="21" customHeight="1" x14ac:dyDescent="0.25">
      <c r="B138" s="43"/>
      <c r="C138" s="43"/>
      <c r="D138" s="43"/>
      <c r="E138" s="45" t="str">
        <f t="shared" si="4"/>
        <v/>
      </c>
    </row>
    <row r="139" spans="2:5" ht="21" customHeight="1" x14ac:dyDescent="0.25">
      <c r="B139" s="43"/>
      <c r="C139" s="43"/>
      <c r="D139" s="43"/>
      <c r="E139" s="45" t="str">
        <f t="shared" si="4"/>
        <v/>
      </c>
    </row>
    <row r="140" spans="2:5" ht="21" customHeight="1" x14ac:dyDescent="0.25">
      <c r="B140" s="43"/>
      <c r="C140" s="43"/>
      <c r="D140" s="43"/>
      <c r="E140" s="45" t="str">
        <f t="shared" si="4"/>
        <v/>
      </c>
    </row>
    <row r="141" spans="2:5" ht="21" customHeight="1" x14ac:dyDescent="0.25">
      <c r="B141" s="43"/>
      <c r="C141" s="43"/>
      <c r="D141" s="43"/>
      <c r="E141" s="45" t="str">
        <f t="shared" si="4"/>
        <v/>
      </c>
    </row>
    <row r="142" spans="2:5" ht="21" customHeight="1" x14ac:dyDescent="0.25">
      <c r="B142" s="43"/>
      <c r="C142" s="43"/>
      <c r="D142" s="43"/>
      <c r="E142" s="45" t="str">
        <f t="shared" si="4"/>
        <v/>
      </c>
    </row>
    <row r="143" spans="2:5" ht="21" customHeight="1" x14ac:dyDescent="0.25">
      <c r="B143" s="43"/>
      <c r="C143" s="43"/>
      <c r="D143" s="43"/>
      <c r="E143" s="45" t="str">
        <f t="shared" si="4"/>
        <v/>
      </c>
    </row>
    <row r="144" spans="2:5" ht="21" customHeight="1" x14ac:dyDescent="0.25">
      <c r="B144" s="43"/>
      <c r="C144" s="43"/>
      <c r="D144" s="43"/>
      <c r="E144" s="45" t="str">
        <f t="shared" si="4"/>
        <v/>
      </c>
    </row>
    <row r="145" spans="2:5" ht="21" customHeight="1" x14ac:dyDescent="0.25">
      <c r="B145" s="43"/>
      <c r="C145" s="43"/>
      <c r="D145" s="43"/>
      <c r="E145" s="45" t="str">
        <f t="shared" si="4"/>
        <v/>
      </c>
    </row>
    <row r="146" spans="2:5" ht="21" customHeight="1" x14ac:dyDescent="0.25">
      <c r="B146" s="43"/>
      <c r="C146" s="43"/>
      <c r="D146" s="43"/>
      <c r="E146" s="45" t="str">
        <f t="shared" si="4"/>
        <v/>
      </c>
    </row>
    <row r="147" spans="2:5" ht="21" customHeight="1" x14ac:dyDescent="0.25">
      <c r="B147" s="43"/>
      <c r="C147" s="43"/>
      <c r="D147" s="43"/>
      <c r="E147" s="45" t="str">
        <f t="shared" si="4"/>
        <v/>
      </c>
    </row>
    <row r="148" spans="2:5" ht="21" customHeight="1" x14ac:dyDescent="0.25">
      <c r="B148" s="43"/>
      <c r="C148" s="43"/>
      <c r="D148" s="43"/>
      <c r="E148" s="45" t="str">
        <f t="shared" si="4"/>
        <v/>
      </c>
    </row>
    <row r="149" spans="2:5" ht="21" customHeight="1" x14ac:dyDescent="0.25">
      <c r="B149" s="43"/>
      <c r="C149" s="43"/>
      <c r="D149" s="43"/>
      <c r="E149" s="45" t="str">
        <f t="shared" si="4"/>
        <v/>
      </c>
    </row>
    <row r="150" spans="2:5" ht="21" customHeight="1" x14ac:dyDescent="0.25">
      <c r="B150" s="43"/>
      <c r="C150" s="43"/>
      <c r="D150" s="43"/>
      <c r="E150" s="45" t="str">
        <f t="shared" si="4"/>
        <v/>
      </c>
    </row>
    <row r="151" spans="2:5" ht="21" customHeight="1" x14ac:dyDescent="0.25">
      <c r="B151" s="43"/>
      <c r="C151" s="43"/>
      <c r="D151" s="43"/>
      <c r="E151" s="45" t="str">
        <f t="shared" si="4"/>
        <v/>
      </c>
    </row>
    <row r="152" spans="2:5" ht="21" customHeight="1" x14ac:dyDescent="0.25">
      <c r="B152" s="43"/>
      <c r="C152" s="43"/>
      <c r="D152" s="43"/>
      <c r="E152" s="45" t="str">
        <f t="shared" si="4"/>
        <v/>
      </c>
    </row>
    <row r="153" spans="2:5" ht="21" customHeight="1" x14ac:dyDescent="0.25">
      <c r="B153" s="43"/>
      <c r="C153" s="43"/>
      <c r="D153" s="43"/>
      <c r="E153" s="45" t="str">
        <f t="shared" si="4"/>
        <v/>
      </c>
    </row>
    <row r="154" spans="2:5" ht="21" customHeight="1" x14ac:dyDescent="0.25">
      <c r="B154" s="43"/>
      <c r="C154" s="43"/>
      <c r="D154" s="43"/>
      <c r="E154" s="45" t="str">
        <f t="shared" si="4"/>
        <v/>
      </c>
    </row>
    <row r="155" spans="2:5" ht="21" customHeight="1" x14ac:dyDescent="0.25">
      <c r="B155" s="43"/>
      <c r="C155" s="43"/>
      <c r="D155" s="43"/>
      <c r="E155" s="45" t="str">
        <f t="shared" si="4"/>
        <v/>
      </c>
    </row>
    <row r="156" spans="2:5" ht="21" customHeight="1" x14ac:dyDescent="0.25">
      <c r="B156" s="43"/>
      <c r="C156" s="43"/>
      <c r="D156" s="43"/>
      <c r="E156" s="45" t="str">
        <f t="shared" si="4"/>
        <v/>
      </c>
    </row>
    <row r="157" spans="2:5" ht="21" customHeight="1" x14ac:dyDescent="0.25">
      <c r="B157" s="43"/>
      <c r="C157" s="43"/>
      <c r="D157" s="43"/>
      <c r="E157" s="45" t="str">
        <f t="shared" si="4"/>
        <v/>
      </c>
    </row>
    <row r="158" spans="2:5" ht="21" customHeight="1" x14ac:dyDescent="0.25">
      <c r="B158" s="43"/>
      <c r="C158" s="43"/>
      <c r="D158" s="43"/>
      <c r="E158" s="45" t="str">
        <f t="shared" si="4"/>
        <v/>
      </c>
    </row>
    <row r="159" spans="2:5" ht="21" customHeight="1" x14ac:dyDescent="0.25">
      <c r="B159" s="43"/>
      <c r="C159" s="43"/>
      <c r="D159" s="43"/>
      <c r="E159" s="45" t="str">
        <f t="shared" si="4"/>
        <v/>
      </c>
    </row>
    <row r="160" spans="2:5" ht="21" customHeight="1" x14ac:dyDescent="0.25">
      <c r="B160" s="43"/>
      <c r="C160" s="43"/>
      <c r="D160" s="43"/>
      <c r="E160" s="45" t="str">
        <f t="shared" si="4"/>
        <v/>
      </c>
    </row>
    <row r="161" spans="2:5" ht="21" customHeight="1" x14ac:dyDescent="0.25">
      <c r="B161" s="43"/>
      <c r="C161" s="43"/>
      <c r="D161" s="43"/>
      <c r="E161" s="45" t="str">
        <f t="shared" si="4"/>
        <v/>
      </c>
    </row>
    <row r="162" spans="2:5" ht="21" customHeight="1" x14ac:dyDescent="0.25">
      <c r="B162" s="43"/>
      <c r="C162" s="43"/>
      <c r="D162" s="43"/>
      <c r="E162" s="45" t="str">
        <f t="shared" si="4"/>
        <v/>
      </c>
    </row>
    <row r="163" spans="2:5" ht="21" customHeight="1" x14ac:dyDescent="0.25">
      <c r="B163" s="43"/>
      <c r="C163" s="43"/>
      <c r="D163" s="43"/>
      <c r="E163" s="45" t="str">
        <f t="shared" si="4"/>
        <v/>
      </c>
    </row>
    <row r="164" spans="2:5" ht="21" customHeight="1" x14ac:dyDescent="0.25">
      <c r="B164" s="43"/>
      <c r="C164" s="43"/>
      <c r="D164" s="43"/>
      <c r="E164" s="45" t="str">
        <f t="shared" si="4"/>
        <v/>
      </c>
    </row>
    <row r="165" spans="2:5" ht="21" customHeight="1" x14ac:dyDescent="0.25">
      <c r="B165" s="43"/>
      <c r="C165" s="43"/>
      <c r="D165" s="43"/>
      <c r="E165" s="45" t="str">
        <f t="shared" si="4"/>
        <v/>
      </c>
    </row>
    <row r="166" spans="2:5" ht="21" customHeight="1" x14ac:dyDescent="0.25">
      <c r="B166" s="43"/>
      <c r="C166" s="43"/>
      <c r="D166" s="43"/>
      <c r="E166" s="45" t="str">
        <f t="shared" si="4"/>
        <v/>
      </c>
    </row>
    <row r="167" spans="2:5" ht="21" customHeight="1" x14ac:dyDescent="0.25">
      <c r="B167" s="43"/>
      <c r="C167" s="43"/>
      <c r="D167" s="43"/>
      <c r="E167" s="45" t="str">
        <f t="shared" si="4"/>
        <v/>
      </c>
    </row>
    <row r="168" spans="2:5" ht="21" customHeight="1" x14ac:dyDescent="0.25">
      <c r="B168" s="43"/>
      <c r="C168" s="43"/>
      <c r="D168" s="43"/>
      <c r="E168" s="45" t="str">
        <f t="shared" si="4"/>
        <v/>
      </c>
    </row>
    <row r="169" spans="2:5" ht="21" customHeight="1" x14ac:dyDescent="0.25">
      <c r="B169" s="43"/>
      <c r="C169" s="43"/>
      <c r="D169" s="43"/>
      <c r="E169" s="45" t="str">
        <f t="shared" ref="E169:E200" si="5">IF(B169="","",IF(COUNTIFS($B$9:$B$208,B169,$C$9:$C$208,C169)&gt;1,"⚠ Doublon","✓"))</f>
        <v/>
      </c>
    </row>
    <row r="170" spans="2:5" ht="21" customHeight="1" x14ac:dyDescent="0.25">
      <c r="B170" s="43"/>
      <c r="C170" s="43"/>
      <c r="D170" s="43"/>
      <c r="E170" s="45" t="str">
        <f t="shared" si="5"/>
        <v/>
      </c>
    </row>
    <row r="171" spans="2:5" ht="21" customHeight="1" x14ac:dyDescent="0.25">
      <c r="B171" s="43"/>
      <c r="C171" s="43"/>
      <c r="D171" s="43"/>
      <c r="E171" s="45" t="str">
        <f t="shared" si="5"/>
        <v/>
      </c>
    </row>
    <row r="172" spans="2:5" ht="21" customHeight="1" x14ac:dyDescent="0.25">
      <c r="B172" s="43"/>
      <c r="C172" s="43"/>
      <c r="D172" s="43"/>
      <c r="E172" s="45" t="str">
        <f t="shared" si="5"/>
        <v/>
      </c>
    </row>
    <row r="173" spans="2:5" ht="21" customHeight="1" x14ac:dyDescent="0.25">
      <c r="B173" s="43"/>
      <c r="C173" s="43"/>
      <c r="D173" s="43"/>
      <c r="E173" s="45" t="str">
        <f t="shared" si="5"/>
        <v/>
      </c>
    </row>
    <row r="174" spans="2:5" ht="21" customHeight="1" x14ac:dyDescent="0.25">
      <c r="B174" s="43"/>
      <c r="C174" s="43"/>
      <c r="D174" s="43"/>
      <c r="E174" s="45" t="str">
        <f t="shared" si="5"/>
        <v/>
      </c>
    </row>
    <row r="175" spans="2:5" ht="21" customHeight="1" x14ac:dyDescent="0.25">
      <c r="B175" s="43"/>
      <c r="C175" s="43"/>
      <c r="D175" s="43"/>
      <c r="E175" s="45" t="str">
        <f t="shared" si="5"/>
        <v/>
      </c>
    </row>
    <row r="176" spans="2:5" ht="21" customHeight="1" x14ac:dyDescent="0.25">
      <c r="B176" s="43"/>
      <c r="C176" s="43"/>
      <c r="D176" s="43"/>
      <c r="E176" s="45" t="str">
        <f t="shared" si="5"/>
        <v/>
      </c>
    </row>
    <row r="177" spans="2:5" ht="21" customHeight="1" x14ac:dyDescent="0.25">
      <c r="B177" s="43"/>
      <c r="C177" s="43"/>
      <c r="D177" s="43"/>
      <c r="E177" s="45" t="str">
        <f t="shared" si="5"/>
        <v/>
      </c>
    </row>
    <row r="178" spans="2:5" ht="21" customHeight="1" x14ac:dyDescent="0.25">
      <c r="B178" s="43"/>
      <c r="C178" s="43"/>
      <c r="D178" s="43"/>
      <c r="E178" s="45" t="str">
        <f t="shared" si="5"/>
        <v/>
      </c>
    </row>
    <row r="179" spans="2:5" ht="21" customHeight="1" x14ac:dyDescent="0.25">
      <c r="B179" s="43"/>
      <c r="C179" s="43"/>
      <c r="D179" s="43"/>
      <c r="E179" s="45" t="str">
        <f t="shared" si="5"/>
        <v/>
      </c>
    </row>
    <row r="180" spans="2:5" ht="21" customHeight="1" x14ac:dyDescent="0.25">
      <c r="B180" s="43"/>
      <c r="C180" s="43"/>
      <c r="D180" s="43"/>
      <c r="E180" s="45" t="str">
        <f t="shared" si="5"/>
        <v/>
      </c>
    </row>
    <row r="181" spans="2:5" ht="21" customHeight="1" x14ac:dyDescent="0.25">
      <c r="B181" s="43"/>
      <c r="C181" s="43"/>
      <c r="D181" s="43"/>
      <c r="E181" s="45" t="str">
        <f t="shared" si="5"/>
        <v/>
      </c>
    </row>
    <row r="182" spans="2:5" ht="21" customHeight="1" x14ac:dyDescent="0.25">
      <c r="B182" s="43"/>
      <c r="C182" s="43"/>
      <c r="D182" s="43"/>
      <c r="E182" s="45" t="str">
        <f t="shared" si="5"/>
        <v/>
      </c>
    </row>
    <row r="183" spans="2:5" ht="21" customHeight="1" x14ac:dyDescent="0.25">
      <c r="B183" s="43"/>
      <c r="C183" s="43"/>
      <c r="D183" s="43"/>
      <c r="E183" s="45" t="str">
        <f t="shared" si="5"/>
        <v/>
      </c>
    </row>
    <row r="184" spans="2:5" ht="21" customHeight="1" x14ac:dyDescent="0.25">
      <c r="B184" s="43"/>
      <c r="C184" s="43"/>
      <c r="D184" s="43"/>
      <c r="E184" s="45" t="str">
        <f t="shared" si="5"/>
        <v/>
      </c>
    </row>
    <row r="185" spans="2:5" ht="21" customHeight="1" x14ac:dyDescent="0.25">
      <c r="B185" s="43"/>
      <c r="C185" s="43"/>
      <c r="D185" s="43"/>
      <c r="E185" s="45" t="str">
        <f t="shared" si="5"/>
        <v/>
      </c>
    </row>
    <row r="186" spans="2:5" ht="21" customHeight="1" x14ac:dyDescent="0.25">
      <c r="B186" s="43"/>
      <c r="C186" s="43"/>
      <c r="D186" s="43"/>
      <c r="E186" s="45" t="str">
        <f t="shared" si="5"/>
        <v/>
      </c>
    </row>
    <row r="187" spans="2:5" ht="21" customHeight="1" x14ac:dyDescent="0.25">
      <c r="B187" s="43"/>
      <c r="C187" s="43"/>
      <c r="D187" s="43"/>
      <c r="E187" s="45" t="str">
        <f t="shared" si="5"/>
        <v/>
      </c>
    </row>
    <row r="188" spans="2:5" ht="21" customHeight="1" x14ac:dyDescent="0.25">
      <c r="B188" s="43"/>
      <c r="C188" s="43"/>
      <c r="D188" s="43"/>
      <c r="E188" s="45" t="str">
        <f t="shared" si="5"/>
        <v/>
      </c>
    </row>
    <row r="189" spans="2:5" ht="21" customHeight="1" x14ac:dyDescent="0.25">
      <c r="B189" s="43"/>
      <c r="C189" s="43"/>
      <c r="D189" s="43"/>
      <c r="E189" s="45" t="str">
        <f t="shared" si="5"/>
        <v/>
      </c>
    </row>
    <row r="190" spans="2:5" ht="21" customHeight="1" x14ac:dyDescent="0.25">
      <c r="B190" s="43"/>
      <c r="C190" s="43"/>
      <c r="D190" s="43"/>
      <c r="E190" s="45" t="str">
        <f t="shared" si="5"/>
        <v/>
      </c>
    </row>
    <row r="191" spans="2:5" ht="21" customHeight="1" x14ac:dyDescent="0.25">
      <c r="B191" s="43"/>
      <c r="C191" s="43"/>
      <c r="D191" s="43"/>
      <c r="E191" s="45" t="str">
        <f t="shared" si="5"/>
        <v/>
      </c>
    </row>
    <row r="192" spans="2:5" ht="21" customHeight="1" x14ac:dyDescent="0.25">
      <c r="B192" s="43"/>
      <c r="C192" s="43"/>
      <c r="D192" s="43"/>
      <c r="E192" s="45" t="str">
        <f t="shared" si="5"/>
        <v/>
      </c>
    </row>
    <row r="193" spans="2:5" ht="21" customHeight="1" x14ac:dyDescent="0.25">
      <c r="B193" s="43"/>
      <c r="C193" s="43"/>
      <c r="D193" s="43"/>
      <c r="E193" s="45" t="str">
        <f t="shared" si="5"/>
        <v/>
      </c>
    </row>
    <row r="194" spans="2:5" ht="21" customHeight="1" x14ac:dyDescent="0.25">
      <c r="B194" s="43"/>
      <c r="C194" s="43"/>
      <c r="D194" s="43"/>
      <c r="E194" s="45" t="str">
        <f t="shared" si="5"/>
        <v/>
      </c>
    </row>
    <row r="195" spans="2:5" ht="21" customHeight="1" x14ac:dyDescent="0.25">
      <c r="B195" s="43"/>
      <c r="C195" s="43"/>
      <c r="D195" s="43"/>
      <c r="E195" s="45" t="str">
        <f t="shared" si="5"/>
        <v/>
      </c>
    </row>
    <row r="196" spans="2:5" ht="21" customHeight="1" x14ac:dyDescent="0.25">
      <c r="B196" s="43"/>
      <c r="C196" s="43"/>
      <c r="D196" s="43"/>
      <c r="E196" s="45" t="str">
        <f t="shared" si="5"/>
        <v/>
      </c>
    </row>
    <row r="197" spans="2:5" ht="21" customHeight="1" x14ac:dyDescent="0.25">
      <c r="B197" s="43"/>
      <c r="C197" s="43"/>
      <c r="D197" s="43"/>
      <c r="E197" s="45" t="str">
        <f t="shared" si="5"/>
        <v/>
      </c>
    </row>
    <row r="198" spans="2:5" ht="21" customHeight="1" x14ac:dyDescent="0.25">
      <c r="B198" s="43"/>
      <c r="C198" s="43"/>
      <c r="D198" s="43"/>
      <c r="E198" s="45" t="str">
        <f t="shared" si="5"/>
        <v/>
      </c>
    </row>
    <row r="199" spans="2:5" ht="21" customHeight="1" x14ac:dyDescent="0.25">
      <c r="B199" s="43"/>
      <c r="C199" s="43"/>
      <c r="D199" s="43"/>
      <c r="E199" s="45" t="str">
        <f t="shared" si="5"/>
        <v/>
      </c>
    </row>
    <row r="200" spans="2:5" ht="21" customHeight="1" x14ac:dyDescent="0.25">
      <c r="B200" s="43"/>
      <c r="C200" s="43"/>
      <c r="D200" s="43"/>
      <c r="E200" s="45" t="str">
        <f t="shared" si="5"/>
        <v/>
      </c>
    </row>
    <row r="201" spans="2:5" ht="21" customHeight="1" x14ac:dyDescent="0.25">
      <c r="B201" s="43"/>
      <c r="C201" s="43"/>
      <c r="D201" s="43"/>
      <c r="E201" s="45" t="str">
        <f t="shared" ref="E201:E208" si="6">IF(B201="","",IF(COUNTIFS($B$9:$B$208,B201,$C$9:$C$208,C201)&gt;1,"⚠ Doublon","✓"))</f>
        <v/>
      </c>
    </row>
    <row r="202" spans="2:5" ht="21" customHeight="1" x14ac:dyDescent="0.25">
      <c r="B202" s="43"/>
      <c r="C202" s="43"/>
      <c r="D202" s="43"/>
      <c r="E202" s="45" t="str">
        <f t="shared" si="6"/>
        <v/>
      </c>
    </row>
    <row r="203" spans="2:5" ht="21" customHeight="1" x14ac:dyDescent="0.25">
      <c r="B203" s="43"/>
      <c r="C203" s="43"/>
      <c r="D203" s="43"/>
      <c r="E203" s="45" t="str">
        <f t="shared" si="6"/>
        <v/>
      </c>
    </row>
    <row r="204" spans="2:5" ht="21" customHeight="1" x14ac:dyDescent="0.25">
      <c r="B204" s="43"/>
      <c r="C204" s="43"/>
      <c r="D204" s="43"/>
      <c r="E204" s="45" t="str">
        <f t="shared" si="6"/>
        <v/>
      </c>
    </row>
    <row r="205" spans="2:5" ht="21" customHeight="1" x14ac:dyDescent="0.25">
      <c r="B205" s="43"/>
      <c r="C205" s="43"/>
      <c r="D205" s="43"/>
      <c r="E205" s="45" t="str">
        <f t="shared" si="6"/>
        <v/>
      </c>
    </row>
    <row r="206" spans="2:5" ht="21" customHeight="1" x14ac:dyDescent="0.25">
      <c r="B206" s="43"/>
      <c r="C206" s="43"/>
      <c r="D206" s="43"/>
      <c r="E206" s="45" t="str">
        <f t="shared" si="6"/>
        <v/>
      </c>
    </row>
    <row r="207" spans="2:5" ht="21" customHeight="1" x14ac:dyDescent="0.25">
      <c r="B207" s="43"/>
      <c r="C207" s="43"/>
      <c r="D207" s="43"/>
      <c r="E207" s="45" t="str">
        <f t="shared" si="6"/>
        <v/>
      </c>
    </row>
    <row r="208" spans="2:5" ht="21" customHeight="1" x14ac:dyDescent="0.25">
      <c r="B208" s="43"/>
      <c r="C208" s="43"/>
      <c r="D208" s="43"/>
      <c r="E208" s="45" t="str">
        <f t="shared" si="6"/>
        <v/>
      </c>
    </row>
  </sheetData>
  <sheetProtection sheet="1" formatColumns="0" formatRows="0" sort="0" autoFilter="0"/>
  <autoFilter ref="B8:E8" xr:uid="{00000000-0009-0000-0000-00000E000000}"/>
  <conditionalFormatting sqref="B9:C208">
    <cfRule type="expression" dxfId="12" priority="1">
      <formula>AND(OR($B9&lt;&gt;"",$C9&lt;&gt;"",$D9&lt;&gt;""),B9="")</formula>
    </cfRule>
  </conditionalFormatting>
  <dataValidations count="3">
    <dataValidation type="list" allowBlank="1" showErrorMessage="1" errorTitle="Valeur hors liste" error="Choisissez une valeur dans la liste. Elle se remplit à partir de l’onglet correspondant." sqref="B9:B208" xr:uid="{00000000-0002-0000-0E00-000000000000}">
      <formula1>L_Instances</formula1>
    </dataValidation>
    <dataValidation type="list" allowBlank="1" showErrorMessage="1" errorTitle="Valeur hors liste" error="Choisissez une valeur dans la liste. Elle se remplit à partir de l’onglet correspondant." sqref="C9:C208" xr:uid="{00000000-0002-0000-0E00-000002000000}">
      <formula1>L_Personnes</formula1>
    </dataValidation>
    <dataValidation type="list" allowBlank="1" showErrorMessage="1" errorTitle="Valeur hors liste" error="Choisissez une valeur dans la liste. Elle se remplit à partir de l’onglet correspondant." sqref="D9:D208" xr:uid="{00000000-0002-0000-0E00-000004000000}">
      <formula1>L_RoleInstance</formula1>
    </dataValidation>
  </dataValidations>
  <hyperlinks>
    <hyperlink ref="E3" location="#'Complétude'!A1" display="↩  Complétude" xr:uid="{00000000-0004-0000-0E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00000000-000E-0000-0E00-000003000000}">
            <xm:f>NOT(ISERROR(SEARCH("⚠",E9)))</xm:f>
            <x14:dxf>
              <font>
                <b/>
                <color rgb="FFC2473B"/>
              </font>
            </x14:dxf>
          </x14:cfRule>
          <x14:cfRule type="containsText" priority="3" operator="containsText" id="{00000000-000E-0000-0E00-000003000000}">
            <xm:f>NOT(ISERROR(SEARCH("◔",E9)))</xm:f>
            <x14:dxf>
              <font>
                <b/>
                <color rgb="FFB26A12"/>
              </font>
            </x14:dxf>
          </x14:cfRule>
          <xm:sqref>E9:E208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39A2D"/>
    <pageSetUpPr fitToPage="1"/>
  </sheetPr>
  <dimension ref="B1:K10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8" customWidth="1"/>
    <col min="3" max="3" width="36" customWidth="1"/>
    <col min="4" max="4" width="16" customWidth="1"/>
    <col min="5" max="5" width="28" customWidth="1"/>
    <col min="6" max="6" width="22" customWidth="1"/>
    <col min="7" max="7" width="10" customWidth="1"/>
    <col min="8" max="8" width="22" customWidth="1"/>
    <col min="9" max="9" width="13" customWidth="1"/>
    <col min="10" max="10" width="16" customWidth="1"/>
    <col min="11" max="11" width="30" customWidth="1"/>
  </cols>
  <sheetData>
    <row r="1" spans="2:11" ht="12" customHeight="1" x14ac:dyDescent="0.25"/>
    <row r="2" spans="2:11" ht="33.950000000000003" customHeight="1" x14ac:dyDescent="0.45">
      <c r="B2" s="1" t="s">
        <v>66</v>
      </c>
      <c r="K2" s="35">
        <f>Complétude!$I33</f>
        <v>0</v>
      </c>
    </row>
    <row r="3" spans="2:11" ht="18" customHeight="1" x14ac:dyDescent="0.25">
      <c r="B3" s="2" t="s">
        <v>280</v>
      </c>
      <c r="K3" s="36" t="s">
        <v>195</v>
      </c>
    </row>
    <row r="4" spans="2:11" ht="18" customHeight="1" x14ac:dyDescent="0.25">
      <c r="B4" t="s">
        <v>281</v>
      </c>
    </row>
    <row r="5" spans="2:11" ht="15.95" customHeight="1" x14ac:dyDescent="0.25">
      <c r="B5" s="37" t="s">
        <v>282</v>
      </c>
    </row>
    <row r="6" spans="2:11" ht="9.9499999999999993" customHeight="1" x14ac:dyDescent="0.25"/>
    <row r="7" spans="2:11" ht="15" customHeight="1" x14ac:dyDescent="0.25">
      <c r="B7" s="40" t="s">
        <v>200</v>
      </c>
      <c r="C7" s="38" t="s">
        <v>198</v>
      </c>
      <c r="D7" s="38" t="s">
        <v>212</v>
      </c>
      <c r="E7" s="39" t="s">
        <v>213</v>
      </c>
      <c r="F7" s="39" t="s">
        <v>213</v>
      </c>
      <c r="G7" s="39" t="s">
        <v>213</v>
      </c>
      <c r="H7" s="39" t="s">
        <v>213</v>
      </c>
      <c r="I7" s="38" t="s">
        <v>198</v>
      </c>
      <c r="J7" s="39" t="s">
        <v>199</v>
      </c>
      <c r="K7" s="40" t="s">
        <v>201</v>
      </c>
    </row>
    <row r="8" spans="2:11" ht="26.1" customHeight="1" x14ac:dyDescent="0.25">
      <c r="B8" s="42" t="s">
        <v>265</v>
      </c>
      <c r="C8" s="41" t="s">
        <v>207</v>
      </c>
      <c r="D8" s="41" t="s">
        <v>107</v>
      </c>
      <c r="E8" s="41" t="s">
        <v>111</v>
      </c>
      <c r="F8" s="41" t="s">
        <v>115</v>
      </c>
      <c r="G8" s="41" t="s">
        <v>103</v>
      </c>
      <c r="H8" s="41" t="s">
        <v>256</v>
      </c>
      <c r="I8" s="41" t="s">
        <v>136</v>
      </c>
      <c r="J8" s="41" t="s">
        <v>139</v>
      </c>
      <c r="K8" s="42" t="s">
        <v>153</v>
      </c>
    </row>
    <row r="9" spans="2:11" ht="21" customHeight="1" x14ac:dyDescent="0.25">
      <c r="B9" s="44" t="str">
        <f t="shared" ref="B9:B40" si="0">IF(C9="","","J"&amp;TEXT(ROW()-8,"00"))</f>
        <v/>
      </c>
      <c r="C9" s="43"/>
      <c r="D9" s="43"/>
      <c r="E9" s="43"/>
      <c r="F9" s="43"/>
      <c r="G9" s="43"/>
      <c r="H9" s="43"/>
      <c r="I9" s="46"/>
      <c r="J9" s="46"/>
      <c r="K9" s="45" t="str">
        <f>IF(C9="","",IF(D9="","⚠ Phase manquante",IF(AND(E9&lt;&gt;"",LEFT(E9,LEN(LEFT(D9,FIND(" ·",D9&amp;" ·")-1))+1)&lt;&gt;LEFT(D9,FIND(" ·",D9&amp;" ·")-1)&amp;"."),"⚠ Sous-phase hors phase",IF(AND(I9&lt;&gt;"",IFERROR(OR(I9&lt;INDEX('08 Phases'!$F$9:$F$38,MATCH(D9,'08 Phases'!$B$9:$B$38,0)),I9&gt;INDEX('08 Phases'!$G$9:$G$38,MATCH(D9,'08 Phases'!$B$9:$B$38,0))),FALSE)),"◔ Date hors période de la phase","✓"))))</f>
        <v/>
      </c>
    </row>
    <row r="10" spans="2:11" ht="21" customHeight="1" x14ac:dyDescent="0.25">
      <c r="B10" s="44" t="str">
        <f t="shared" si="0"/>
        <v/>
      </c>
      <c r="C10" s="43"/>
      <c r="D10" s="43"/>
      <c r="E10" s="43"/>
      <c r="F10" s="43"/>
      <c r="G10" s="43"/>
      <c r="H10" s="43"/>
      <c r="I10" s="46"/>
      <c r="J10" s="46"/>
      <c r="K10" s="45" t="str">
        <f>IF(C10="","",IF(D10="","⚠ Phase manquante",IF(AND(E10&lt;&gt;"",LEFT(E10,LEN(LEFT(D10,FIND(" ·",D10&amp;" ·")-1))+1)&lt;&gt;LEFT(D10,FIND(" ·",D10&amp;" ·")-1)&amp;"."),"⚠ Sous-phase hors phase",IF(AND(I10&lt;&gt;"",IFERROR(OR(I10&lt;INDEX('08 Phases'!$F$9:$F$38,MATCH(D10,'08 Phases'!$B$9:$B$38,0)),I10&gt;INDEX('08 Phases'!$G$9:$G$38,MATCH(D10,'08 Phases'!$B$9:$B$38,0))),FALSE)),"◔ Date hors période de la phase","✓"))))</f>
        <v/>
      </c>
    </row>
    <row r="11" spans="2:11" ht="21" customHeight="1" x14ac:dyDescent="0.25">
      <c r="B11" s="44" t="str">
        <f t="shared" si="0"/>
        <v/>
      </c>
      <c r="C11" s="43"/>
      <c r="D11" s="43"/>
      <c r="E11" s="43"/>
      <c r="F11" s="43"/>
      <c r="G11" s="43"/>
      <c r="H11" s="43"/>
      <c r="I11" s="46"/>
      <c r="J11" s="46"/>
      <c r="K11" s="45" t="str">
        <f>IF(C11="","",IF(D11="","⚠ Phase manquante",IF(AND(E11&lt;&gt;"",LEFT(E11,LEN(LEFT(D11,FIND(" ·",D11&amp;" ·")-1))+1)&lt;&gt;LEFT(D11,FIND(" ·",D11&amp;" ·")-1)&amp;"."),"⚠ Sous-phase hors phase",IF(AND(I11&lt;&gt;"",IFERROR(OR(I11&lt;INDEX('08 Phases'!$F$9:$F$38,MATCH(D11,'08 Phases'!$B$9:$B$38,0)),I11&gt;INDEX('08 Phases'!$G$9:$G$38,MATCH(D11,'08 Phases'!$B$9:$B$38,0))),FALSE)),"◔ Date hors période de la phase","✓"))))</f>
        <v/>
      </c>
    </row>
    <row r="12" spans="2:11" ht="21" customHeight="1" x14ac:dyDescent="0.25">
      <c r="B12" s="44" t="str">
        <f t="shared" si="0"/>
        <v/>
      </c>
      <c r="C12" s="43"/>
      <c r="D12" s="43"/>
      <c r="E12" s="43"/>
      <c r="F12" s="43"/>
      <c r="G12" s="43"/>
      <c r="H12" s="43"/>
      <c r="I12" s="46"/>
      <c r="J12" s="46"/>
      <c r="K12" s="45" t="str">
        <f>IF(C12="","",IF(D12="","⚠ Phase manquante",IF(AND(E12&lt;&gt;"",LEFT(E12,LEN(LEFT(D12,FIND(" ·",D12&amp;" ·")-1))+1)&lt;&gt;LEFT(D12,FIND(" ·",D12&amp;" ·")-1)&amp;"."),"⚠ Sous-phase hors phase",IF(AND(I12&lt;&gt;"",IFERROR(OR(I12&lt;INDEX('08 Phases'!$F$9:$F$38,MATCH(D12,'08 Phases'!$B$9:$B$38,0)),I12&gt;INDEX('08 Phases'!$G$9:$G$38,MATCH(D12,'08 Phases'!$B$9:$B$38,0))),FALSE)),"◔ Date hors période de la phase","✓"))))</f>
        <v/>
      </c>
    </row>
    <row r="13" spans="2:11" ht="21" customHeight="1" x14ac:dyDescent="0.25">
      <c r="B13" s="44" t="str">
        <f t="shared" si="0"/>
        <v/>
      </c>
      <c r="C13" s="43"/>
      <c r="D13" s="43"/>
      <c r="E13" s="43"/>
      <c r="F13" s="43"/>
      <c r="G13" s="43"/>
      <c r="H13" s="43"/>
      <c r="I13" s="46"/>
      <c r="J13" s="46"/>
      <c r="K13" s="45" t="str">
        <f>IF(C13="","",IF(D13="","⚠ Phase manquante",IF(AND(E13&lt;&gt;"",LEFT(E13,LEN(LEFT(D13,FIND(" ·",D13&amp;" ·")-1))+1)&lt;&gt;LEFT(D13,FIND(" ·",D13&amp;" ·")-1)&amp;"."),"⚠ Sous-phase hors phase",IF(AND(I13&lt;&gt;"",IFERROR(OR(I13&lt;INDEX('08 Phases'!$F$9:$F$38,MATCH(D13,'08 Phases'!$B$9:$B$38,0)),I13&gt;INDEX('08 Phases'!$G$9:$G$38,MATCH(D13,'08 Phases'!$B$9:$B$38,0))),FALSE)),"◔ Date hors période de la phase","✓"))))</f>
        <v/>
      </c>
    </row>
    <row r="14" spans="2:11" ht="21" customHeight="1" x14ac:dyDescent="0.25">
      <c r="B14" s="44" t="str">
        <f t="shared" si="0"/>
        <v/>
      </c>
      <c r="C14" s="43"/>
      <c r="D14" s="43"/>
      <c r="E14" s="43"/>
      <c r="F14" s="43"/>
      <c r="G14" s="43"/>
      <c r="H14" s="43"/>
      <c r="I14" s="46"/>
      <c r="J14" s="46"/>
      <c r="K14" s="45" t="str">
        <f>IF(C14="","",IF(D14="","⚠ Phase manquante",IF(AND(E14&lt;&gt;"",LEFT(E14,LEN(LEFT(D14,FIND(" ·",D14&amp;" ·")-1))+1)&lt;&gt;LEFT(D14,FIND(" ·",D14&amp;" ·")-1)&amp;"."),"⚠ Sous-phase hors phase",IF(AND(I14&lt;&gt;"",IFERROR(OR(I14&lt;INDEX('08 Phases'!$F$9:$F$38,MATCH(D14,'08 Phases'!$B$9:$B$38,0)),I14&gt;INDEX('08 Phases'!$G$9:$G$38,MATCH(D14,'08 Phases'!$B$9:$B$38,0))),FALSE)),"◔ Date hors période de la phase","✓"))))</f>
        <v/>
      </c>
    </row>
    <row r="15" spans="2:11" ht="21" customHeight="1" x14ac:dyDescent="0.25">
      <c r="B15" s="44" t="str">
        <f t="shared" si="0"/>
        <v/>
      </c>
      <c r="C15" s="43"/>
      <c r="D15" s="43"/>
      <c r="E15" s="43"/>
      <c r="F15" s="43"/>
      <c r="G15" s="43"/>
      <c r="H15" s="43"/>
      <c r="I15" s="46"/>
      <c r="J15" s="46"/>
      <c r="K15" s="45" t="str">
        <f>IF(C15="","",IF(D15="","⚠ Phase manquante",IF(AND(E15&lt;&gt;"",LEFT(E15,LEN(LEFT(D15,FIND(" ·",D15&amp;" ·")-1))+1)&lt;&gt;LEFT(D15,FIND(" ·",D15&amp;" ·")-1)&amp;"."),"⚠ Sous-phase hors phase",IF(AND(I15&lt;&gt;"",IFERROR(OR(I15&lt;INDEX('08 Phases'!$F$9:$F$38,MATCH(D15,'08 Phases'!$B$9:$B$38,0)),I15&gt;INDEX('08 Phases'!$G$9:$G$38,MATCH(D15,'08 Phases'!$B$9:$B$38,0))),FALSE)),"◔ Date hors période de la phase","✓"))))</f>
        <v/>
      </c>
    </row>
    <row r="16" spans="2:11" ht="21" customHeight="1" x14ac:dyDescent="0.25">
      <c r="B16" s="44" t="str">
        <f t="shared" si="0"/>
        <v/>
      </c>
      <c r="C16" s="43"/>
      <c r="D16" s="43"/>
      <c r="E16" s="43"/>
      <c r="F16" s="43"/>
      <c r="G16" s="43"/>
      <c r="H16" s="43"/>
      <c r="I16" s="46"/>
      <c r="J16" s="46"/>
      <c r="K16" s="45" t="str">
        <f>IF(C16="","",IF(D16="","⚠ Phase manquante",IF(AND(E16&lt;&gt;"",LEFT(E16,LEN(LEFT(D16,FIND(" ·",D16&amp;" ·")-1))+1)&lt;&gt;LEFT(D16,FIND(" ·",D16&amp;" ·")-1)&amp;"."),"⚠ Sous-phase hors phase",IF(AND(I16&lt;&gt;"",IFERROR(OR(I16&lt;INDEX('08 Phases'!$F$9:$F$38,MATCH(D16,'08 Phases'!$B$9:$B$38,0)),I16&gt;INDEX('08 Phases'!$G$9:$G$38,MATCH(D16,'08 Phases'!$B$9:$B$38,0))),FALSE)),"◔ Date hors période de la phase","✓"))))</f>
        <v/>
      </c>
    </row>
    <row r="17" spans="2:11" ht="21" customHeight="1" x14ac:dyDescent="0.25">
      <c r="B17" s="44" t="str">
        <f t="shared" si="0"/>
        <v/>
      </c>
      <c r="C17" s="43"/>
      <c r="D17" s="43"/>
      <c r="E17" s="43"/>
      <c r="F17" s="43"/>
      <c r="G17" s="43"/>
      <c r="H17" s="43"/>
      <c r="I17" s="46"/>
      <c r="J17" s="46"/>
      <c r="K17" s="45" t="str">
        <f>IF(C17="","",IF(D17="","⚠ Phase manquante",IF(AND(E17&lt;&gt;"",LEFT(E17,LEN(LEFT(D17,FIND(" ·",D17&amp;" ·")-1))+1)&lt;&gt;LEFT(D17,FIND(" ·",D17&amp;" ·")-1)&amp;"."),"⚠ Sous-phase hors phase",IF(AND(I17&lt;&gt;"",IFERROR(OR(I17&lt;INDEX('08 Phases'!$F$9:$F$38,MATCH(D17,'08 Phases'!$B$9:$B$38,0)),I17&gt;INDEX('08 Phases'!$G$9:$G$38,MATCH(D17,'08 Phases'!$B$9:$B$38,0))),FALSE)),"◔ Date hors période de la phase","✓"))))</f>
        <v/>
      </c>
    </row>
    <row r="18" spans="2:11" ht="21" customHeight="1" x14ac:dyDescent="0.25">
      <c r="B18" s="44" t="str">
        <f t="shared" si="0"/>
        <v/>
      </c>
      <c r="C18" s="43"/>
      <c r="D18" s="43"/>
      <c r="E18" s="43"/>
      <c r="F18" s="43"/>
      <c r="G18" s="43"/>
      <c r="H18" s="43"/>
      <c r="I18" s="46"/>
      <c r="J18" s="46"/>
      <c r="K18" s="45" t="str">
        <f>IF(C18="","",IF(D18="","⚠ Phase manquante",IF(AND(E18&lt;&gt;"",LEFT(E18,LEN(LEFT(D18,FIND(" ·",D18&amp;" ·")-1))+1)&lt;&gt;LEFT(D18,FIND(" ·",D18&amp;" ·")-1)&amp;"."),"⚠ Sous-phase hors phase",IF(AND(I18&lt;&gt;"",IFERROR(OR(I18&lt;INDEX('08 Phases'!$F$9:$F$38,MATCH(D18,'08 Phases'!$B$9:$B$38,0)),I18&gt;INDEX('08 Phases'!$G$9:$G$38,MATCH(D18,'08 Phases'!$B$9:$B$38,0))),FALSE)),"◔ Date hors période de la phase","✓"))))</f>
        <v/>
      </c>
    </row>
    <row r="19" spans="2:11" ht="21" customHeight="1" x14ac:dyDescent="0.25">
      <c r="B19" s="44" t="str">
        <f t="shared" si="0"/>
        <v/>
      </c>
      <c r="C19" s="43"/>
      <c r="D19" s="43"/>
      <c r="E19" s="43"/>
      <c r="F19" s="43"/>
      <c r="G19" s="43"/>
      <c r="H19" s="43"/>
      <c r="I19" s="46"/>
      <c r="J19" s="46"/>
      <c r="K19" s="45" t="str">
        <f>IF(C19="","",IF(D19="","⚠ Phase manquante",IF(AND(E19&lt;&gt;"",LEFT(E19,LEN(LEFT(D19,FIND(" ·",D19&amp;" ·")-1))+1)&lt;&gt;LEFT(D19,FIND(" ·",D19&amp;" ·")-1)&amp;"."),"⚠ Sous-phase hors phase",IF(AND(I19&lt;&gt;"",IFERROR(OR(I19&lt;INDEX('08 Phases'!$F$9:$F$38,MATCH(D19,'08 Phases'!$B$9:$B$38,0)),I19&gt;INDEX('08 Phases'!$G$9:$G$38,MATCH(D19,'08 Phases'!$B$9:$B$38,0))),FALSE)),"◔ Date hors période de la phase","✓"))))</f>
        <v/>
      </c>
    </row>
    <row r="20" spans="2:11" ht="21" customHeight="1" x14ac:dyDescent="0.25">
      <c r="B20" s="44" t="str">
        <f t="shared" si="0"/>
        <v/>
      </c>
      <c r="C20" s="43"/>
      <c r="D20" s="43"/>
      <c r="E20" s="43"/>
      <c r="F20" s="43"/>
      <c r="G20" s="43"/>
      <c r="H20" s="43"/>
      <c r="I20" s="46"/>
      <c r="J20" s="46"/>
      <c r="K20" s="45" t="str">
        <f>IF(C20="","",IF(D20="","⚠ Phase manquante",IF(AND(E20&lt;&gt;"",LEFT(E20,LEN(LEFT(D20,FIND(" ·",D20&amp;" ·")-1))+1)&lt;&gt;LEFT(D20,FIND(" ·",D20&amp;" ·")-1)&amp;"."),"⚠ Sous-phase hors phase",IF(AND(I20&lt;&gt;"",IFERROR(OR(I20&lt;INDEX('08 Phases'!$F$9:$F$38,MATCH(D20,'08 Phases'!$B$9:$B$38,0)),I20&gt;INDEX('08 Phases'!$G$9:$G$38,MATCH(D20,'08 Phases'!$B$9:$B$38,0))),FALSE)),"◔ Date hors période de la phase","✓"))))</f>
        <v/>
      </c>
    </row>
    <row r="21" spans="2:11" ht="21" customHeight="1" x14ac:dyDescent="0.25">
      <c r="B21" s="44" t="str">
        <f t="shared" si="0"/>
        <v/>
      </c>
      <c r="C21" s="43"/>
      <c r="D21" s="43"/>
      <c r="E21" s="43"/>
      <c r="F21" s="43"/>
      <c r="G21" s="43"/>
      <c r="H21" s="43"/>
      <c r="I21" s="46"/>
      <c r="J21" s="46"/>
      <c r="K21" s="45" t="str">
        <f>IF(C21="","",IF(D21="","⚠ Phase manquante",IF(AND(E21&lt;&gt;"",LEFT(E21,LEN(LEFT(D21,FIND(" ·",D21&amp;" ·")-1))+1)&lt;&gt;LEFT(D21,FIND(" ·",D21&amp;" ·")-1)&amp;"."),"⚠ Sous-phase hors phase",IF(AND(I21&lt;&gt;"",IFERROR(OR(I21&lt;INDEX('08 Phases'!$F$9:$F$38,MATCH(D21,'08 Phases'!$B$9:$B$38,0)),I21&gt;INDEX('08 Phases'!$G$9:$G$38,MATCH(D21,'08 Phases'!$B$9:$B$38,0))),FALSE)),"◔ Date hors période de la phase","✓"))))</f>
        <v/>
      </c>
    </row>
    <row r="22" spans="2:11" ht="21" customHeight="1" x14ac:dyDescent="0.25">
      <c r="B22" s="44" t="str">
        <f t="shared" si="0"/>
        <v/>
      </c>
      <c r="C22" s="43"/>
      <c r="D22" s="43"/>
      <c r="E22" s="43"/>
      <c r="F22" s="43"/>
      <c r="G22" s="43"/>
      <c r="H22" s="43"/>
      <c r="I22" s="46"/>
      <c r="J22" s="46"/>
      <c r="K22" s="45" t="str">
        <f>IF(C22="","",IF(D22="","⚠ Phase manquante",IF(AND(E22&lt;&gt;"",LEFT(E22,LEN(LEFT(D22,FIND(" ·",D22&amp;" ·")-1))+1)&lt;&gt;LEFT(D22,FIND(" ·",D22&amp;" ·")-1)&amp;"."),"⚠ Sous-phase hors phase",IF(AND(I22&lt;&gt;"",IFERROR(OR(I22&lt;INDEX('08 Phases'!$F$9:$F$38,MATCH(D22,'08 Phases'!$B$9:$B$38,0)),I22&gt;INDEX('08 Phases'!$G$9:$G$38,MATCH(D22,'08 Phases'!$B$9:$B$38,0))),FALSE)),"◔ Date hors période de la phase","✓"))))</f>
        <v/>
      </c>
    </row>
    <row r="23" spans="2:11" ht="21" customHeight="1" x14ac:dyDescent="0.25">
      <c r="B23" s="44" t="str">
        <f t="shared" si="0"/>
        <v/>
      </c>
      <c r="C23" s="43"/>
      <c r="D23" s="43"/>
      <c r="E23" s="43"/>
      <c r="F23" s="43"/>
      <c r="G23" s="43"/>
      <c r="H23" s="43"/>
      <c r="I23" s="46"/>
      <c r="J23" s="46"/>
      <c r="K23" s="45" t="str">
        <f>IF(C23="","",IF(D23="","⚠ Phase manquante",IF(AND(E23&lt;&gt;"",LEFT(E23,LEN(LEFT(D23,FIND(" ·",D23&amp;" ·")-1))+1)&lt;&gt;LEFT(D23,FIND(" ·",D23&amp;" ·")-1)&amp;"."),"⚠ Sous-phase hors phase",IF(AND(I23&lt;&gt;"",IFERROR(OR(I23&lt;INDEX('08 Phases'!$F$9:$F$38,MATCH(D23,'08 Phases'!$B$9:$B$38,0)),I23&gt;INDEX('08 Phases'!$G$9:$G$38,MATCH(D23,'08 Phases'!$B$9:$B$38,0))),FALSE)),"◔ Date hors période de la phase","✓"))))</f>
        <v/>
      </c>
    </row>
    <row r="24" spans="2:11" ht="21" customHeight="1" x14ac:dyDescent="0.25">
      <c r="B24" s="44" t="str">
        <f t="shared" si="0"/>
        <v/>
      </c>
      <c r="C24" s="43"/>
      <c r="D24" s="43"/>
      <c r="E24" s="43"/>
      <c r="F24" s="43"/>
      <c r="G24" s="43"/>
      <c r="H24" s="43"/>
      <c r="I24" s="46"/>
      <c r="J24" s="46"/>
      <c r="K24" s="45" t="str">
        <f>IF(C24="","",IF(D24="","⚠ Phase manquante",IF(AND(E24&lt;&gt;"",LEFT(E24,LEN(LEFT(D24,FIND(" ·",D24&amp;" ·")-1))+1)&lt;&gt;LEFT(D24,FIND(" ·",D24&amp;" ·")-1)&amp;"."),"⚠ Sous-phase hors phase",IF(AND(I24&lt;&gt;"",IFERROR(OR(I24&lt;INDEX('08 Phases'!$F$9:$F$38,MATCH(D24,'08 Phases'!$B$9:$B$38,0)),I24&gt;INDEX('08 Phases'!$G$9:$G$38,MATCH(D24,'08 Phases'!$B$9:$B$38,0))),FALSE)),"◔ Date hors période de la phase","✓"))))</f>
        <v/>
      </c>
    </row>
    <row r="25" spans="2:11" ht="21" customHeight="1" x14ac:dyDescent="0.25">
      <c r="B25" s="44" t="str">
        <f t="shared" si="0"/>
        <v/>
      </c>
      <c r="C25" s="43"/>
      <c r="D25" s="43"/>
      <c r="E25" s="43"/>
      <c r="F25" s="43"/>
      <c r="G25" s="43"/>
      <c r="H25" s="43"/>
      <c r="I25" s="46"/>
      <c r="J25" s="46"/>
      <c r="K25" s="45" t="str">
        <f>IF(C25="","",IF(D25="","⚠ Phase manquante",IF(AND(E25&lt;&gt;"",LEFT(E25,LEN(LEFT(D25,FIND(" ·",D25&amp;" ·")-1))+1)&lt;&gt;LEFT(D25,FIND(" ·",D25&amp;" ·")-1)&amp;"."),"⚠ Sous-phase hors phase",IF(AND(I25&lt;&gt;"",IFERROR(OR(I25&lt;INDEX('08 Phases'!$F$9:$F$38,MATCH(D25,'08 Phases'!$B$9:$B$38,0)),I25&gt;INDEX('08 Phases'!$G$9:$G$38,MATCH(D25,'08 Phases'!$B$9:$B$38,0))),FALSE)),"◔ Date hors période de la phase","✓"))))</f>
        <v/>
      </c>
    </row>
    <row r="26" spans="2:11" ht="21" customHeight="1" x14ac:dyDescent="0.25">
      <c r="B26" s="44" t="str">
        <f t="shared" si="0"/>
        <v/>
      </c>
      <c r="C26" s="43"/>
      <c r="D26" s="43"/>
      <c r="E26" s="43"/>
      <c r="F26" s="43"/>
      <c r="G26" s="43"/>
      <c r="H26" s="43"/>
      <c r="I26" s="46"/>
      <c r="J26" s="46"/>
      <c r="K26" s="45" t="str">
        <f>IF(C26="","",IF(D26="","⚠ Phase manquante",IF(AND(E26&lt;&gt;"",LEFT(E26,LEN(LEFT(D26,FIND(" ·",D26&amp;" ·")-1))+1)&lt;&gt;LEFT(D26,FIND(" ·",D26&amp;" ·")-1)&amp;"."),"⚠ Sous-phase hors phase",IF(AND(I26&lt;&gt;"",IFERROR(OR(I26&lt;INDEX('08 Phases'!$F$9:$F$38,MATCH(D26,'08 Phases'!$B$9:$B$38,0)),I26&gt;INDEX('08 Phases'!$G$9:$G$38,MATCH(D26,'08 Phases'!$B$9:$B$38,0))),FALSE)),"◔ Date hors période de la phase","✓"))))</f>
        <v/>
      </c>
    </row>
    <row r="27" spans="2:11" ht="21" customHeight="1" x14ac:dyDescent="0.25">
      <c r="B27" s="44" t="str">
        <f t="shared" si="0"/>
        <v/>
      </c>
      <c r="C27" s="43"/>
      <c r="D27" s="43"/>
      <c r="E27" s="43"/>
      <c r="F27" s="43"/>
      <c r="G27" s="43"/>
      <c r="H27" s="43"/>
      <c r="I27" s="46"/>
      <c r="J27" s="46"/>
      <c r="K27" s="45" t="str">
        <f>IF(C27="","",IF(D27="","⚠ Phase manquante",IF(AND(E27&lt;&gt;"",LEFT(E27,LEN(LEFT(D27,FIND(" ·",D27&amp;" ·")-1))+1)&lt;&gt;LEFT(D27,FIND(" ·",D27&amp;" ·")-1)&amp;"."),"⚠ Sous-phase hors phase",IF(AND(I27&lt;&gt;"",IFERROR(OR(I27&lt;INDEX('08 Phases'!$F$9:$F$38,MATCH(D27,'08 Phases'!$B$9:$B$38,0)),I27&gt;INDEX('08 Phases'!$G$9:$G$38,MATCH(D27,'08 Phases'!$B$9:$B$38,0))),FALSE)),"◔ Date hors période de la phase","✓"))))</f>
        <v/>
      </c>
    </row>
    <row r="28" spans="2:11" ht="21" customHeight="1" x14ac:dyDescent="0.25">
      <c r="B28" s="44" t="str">
        <f t="shared" si="0"/>
        <v/>
      </c>
      <c r="C28" s="43"/>
      <c r="D28" s="43"/>
      <c r="E28" s="43"/>
      <c r="F28" s="43"/>
      <c r="G28" s="43"/>
      <c r="H28" s="43"/>
      <c r="I28" s="46"/>
      <c r="J28" s="46"/>
      <c r="K28" s="45" t="str">
        <f>IF(C28="","",IF(D28="","⚠ Phase manquante",IF(AND(E28&lt;&gt;"",LEFT(E28,LEN(LEFT(D28,FIND(" ·",D28&amp;" ·")-1))+1)&lt;&gt;LEFT(D28,FIND(" ·",D28&amp;" ·")-1)&amp;"."),"⚠ Sous-phase hors phase",IF(AND(I28&lt;&gt;"",IFERROR(OR(I28&lt;INDEX('08 Phases'!$F$9:$F$38,MATCH(D28,'08 Phases'!$B$9:$B$38,0)),I28&gt;INDEX('08 Phases'!$G$9:$G$38,MATCH(D28,'08 Phases'!$B$9:$B$38,0))),FALSE)),"◔ Date hors période de la phase","✓"))))</f>
        <v/>
      </c>
    </row>
    <row r="29" spans="2:11" ht="21" customHeight="1" x14ac:dyDescent="0.25">
      <c r="B29" s="44" t="str">
        <f t="shared" si="0"/>
        <v/>
      </c>
      <c r="C29" s="43"/>
      <c r="D29" s="43"/>
      <c r="E29" s="43"/>
      <c r="F29" s="43"/>
      <c r="G29" s="43"/>
      <c r="H29" s="43"/>
      <c r="I29" s="46"/>
      <c r="J29" s="46"/>
      <c r="K29" s="45" t="str">
        <f>IF(C29="","",IF(D29="","⚠ Phase manquante",IF(AND(E29&lt;&gt;"",LEFT(E29,LEN(LEFT(D29,FIND(" ·",D29&amp;" ·")-1))+1)&lt;&gt;LEFT(D29,FIND(" ·",D29&amp;" ·")-1)&amp;"."),"⚠ Sous-phase hors phase",IF(AND(I29&lt;&gt;"",IFERROR(OR(I29&lt;INDEX('08 Phases'!$F$9:$F$38,MATCH(D29,'08 Phases'!$B$9:$B$38,0)),I29&gt;INDEX('08 Phases'!$G$9:$G$38,MATCH(D29,'08 Phases'!$B$9:$B$38,0))),FALSE)),"◔ Date hors période de la phase","✓"))))</f>
        <v/>
      </c>
    </row>
    <row r="30" spans="2:11" ht="21" customHeight="1" x14ac:dyDescent="0.25">
      <c r="B30" s="44" t="str">
        <f t="shared" si="0"/>
        <v/>
      </c>
      <c r="C30" s="43"/>
      <c r="D30" s="43"/>
      <c r="E30" s="43"/>
      <c r="F30" s="43"/>
      <c r="G30" s="43"/>
      <c r="H30" s="43"/>
      <c r="I30" s="46"/>
      <c r="J30" s="46"/>
      <c r="K30" s="45" t="str">
        <f>IF(C30="","",IF(D30="","⚠ Phase manquante",IF(AND(E30&lt;&gt;"",LEFT(E30,LEN(LEFT(D30,FIND(" ·",D30&amp;" ·")-1))+1)&lt;&gt;LEFT(D30,FIND(" ·",D30&amp;" ·")-1)&amp;"."),"⚠ Sous-phase hors phase",IF(AND(I30&lt;&gt;"",IFERROR(OR(I30&lt;INDEX('08 Phases'!$F$9:$F$38,MATCH(D30,'08 Phases'!$B$9:$B$38,0)),I30&gt;INDEX('08 Phases'!$G$9:$G$38,MATCH(D30,'08 Phases'!$B$9:$B$38,0))),FALSE)),"◔ Date hors période de la phase","✓"))))</f>
        <v/>
      </c>
    </row>
    <row r="31" spans="2:11" ht="21" customHeight="1" x14ac:dyDescent="0.25">
      <c r="B31" s="44" t="str">
        <f t="shared" si="0"/>
        <v/>
      </c>
      <c r="C31" s="43"/>
      <c r="D31" s="43"/>
      <c r="E31" s="43"/>
      <c r="F31" s="43"/>
      <c r="G31" s="43"/>
      <c r="H31" s="43"/>
      <c r="I31" s="46"/>
      <c r="J31" s="46"/>
      <c r="K31" s="45" t="str">
        <f>IF(C31="","",IF(D31="","⚠ Phase manquante",IF(AND(E31&lt;&gt;"",LEFT(E31,LEN(LEFT(D31,FIND(" ·",D31&amp;" ·")-1))+1)&lt;&gt;LEFT(D31,FIND(" ·",D31&amp;" ·")-1)&amp;"."),"⚠ Sous-phase hors phase",IF(AND(I31&lt;&gt;"",IFERROR(OR(I31&lt;INDEX('08 Phases'!$F$9:$F$38,MATCH(D31,'08 Phases'!$B$9:$B$38,0)),I31&gt;INDEX('08 Phases'!$G$9:$G$38,MATCH(D31,'08 Phases'!$B$9:$B$38,0))),FALSE)),"◔ Date hors période de la phase","✓"))))</f>
        <v/>
      </c>
    </row>
    <row r="32" spans="2:11" ht="21" customHeight="1" x14ac:dyDescent="0.25">
      <c r="B32" s="44" t="str">
        <f t="shared" si="0"/>
        <v/>
      </c>
      <c r="C32" s="43"/>
      <c r="D32" s="43"/>
      <c r="E32" s="43"/>
      <c r="F32" s="43"/>
      <c r="G32" s="43"/>
      <c r="H32" s="43"/>
      <c r="I32" s="46"/>
      <c r="J32" s="46"/>
      <c r="K32" s="45" t="str">
        <f>IF(C32="","",IF(D32="","⚠ Phase manquante",IF(AND(E32&lt;&gt;"",LEFT(E32,LEN(LEFT(D32,FIND(" ·",D32&amp;" ·")-1))+1)&lt;&gt;LEFT(D32,FIND(" ·",D32&amp;" ·")-1)&amp;"."),"⚠ Sous-phase hors phase",IF(AND(I32&lt;&gt;"",IFERROR(OR(I32&lt;INDEX('08 Phases'!$F$9:$F$38,MATCH(D32,'08 Phases'!$B$9:$B$38,0)),I32&gt;INDEX('08 Phases'!$G$9:$G$38,MATCH(D32,'08 Phases'!$B$9:$B$38,0))),FALSE)),"◔ Date hors période de la phase","✓"))))</f>
        <v/>
      </c>
    </row>
    <row r="33" spans="2:11" ht="21" customHeight="1" x14ac:dyDescent="0.25">
      <c r="B33" s="44" t="str">
        <f t="shared" si="0"/>
        <v/>
      </c>
      <c r="C33" s="43"/>
      <c r="D33" s="43"/>
      <c r="E33" s="43"/>
      <c r="F33" s="43"/>
      <c r="G33" s="43"/>
      <c r="H33" s="43"/>
      <c r="I33" s="46"/>
      <c r="J33" s="46"/>
      <c r="K33" s="45" t="str">
        <f>IF(C33="","",IF(D33="","⚠ Phase manquante",IF(AND(E33&lt;&gt;"",LEFT(E33,LEN(LEFT(D33,FIND(" ·",D33&amp;" ·")-1))+1)&lt;&gt;LEFT(D33,FIND(" ·",D33&amp;" ·")-1)&amp;"."),"⚠ Sous-phase hors phase",IF(AND(I33&lt;&gt;"",IFERROR(OR(I33&lt;INDEX('08 Phases'!$F$9:$F$38,MATCH(D33,'08 Phases'!$B$9:$B$38,0)),I33&gt;INDEX('08 Phases'!$G$9:$G$38,MATCH(D33,'08 Phases'!$B$9:$B$38,0))),FALSE)),"◔ Date hors période de la phase","✓"))))</f>
        <v/>
      </c>
    </row>
    <row r="34" spans="2:11" ht="21" customHeight="1" x14ac:dyDescent="0.25">
      <c r="B34" s="44" t="str">
        <f t="shared" si="0"/>
        <v/>
      </c>
      <c r="C34" s="43"/>
      <c r="D34" s="43"/>
      <c r="E34" s="43"/>
      <c r="F34" s="43"/>
      <c r="G34" s="43"/>
      <c r="H34" s="43"/>
      <c r="I34" s="46"/>
      <c r="J34" s="46"/>
      <c r="K34" s="45" t="str">
        <f>IF(C34="","",IF(D34="","⚠ Phase manquante",IF(AND(E34&lt;&gt;"",LEFT(E34,LEN(LEFT(D34,FIND(" ·",D34&amp;" ·")-1))+1)&lt;&gt;LEFT(D34,FIND(" ·",D34&amp;" ·")-1)&amp;"."),"⚠ Sous-phase hors phase",IF(AND(I34&lt;&gt;"",IFERROR(OR(I34&lt;INDEX('08 Phases'!$F$9:$F$38,MATCH(D34,'08 Phases'!$B$9:$B$38,0)),I34&gt;INDEX('08 Phases'!$G$9:$G$38,MATCH(D34,'08 Phases'!$B$9:$B$38,0))),FALSE)),"◔ Date hors période de la phase","✓"))))</f>
        <v/>
      </c>
    </row>
    <row r="35" spans="2:11" ht="21" customHeight="1" x14ac:dyDescent="0.25">
      <c r="B35" s="44" t="str">
        <f t="shared" si="0"/>
        <v/>
      </c>
      <c r="C35" s="43"/>
      <c r="D35" s="43"/>
      <c r="E35" s="43"/>
      <c r="F35" s="43"/>
      <c r="G35" s="43"/>
      <c r="H35" s="43"/>
      <c r="I35" s="46"/>
      <c r="J35" s="46"/>
      <c r="K35" s="45" t="str">
        <f>IF(C35="","",IF(D35="","⚠ Phase manquante",IF(AND(E35&lt;&gt;"",LEFT(E35,LEN(LEFT(D35,FIND(" ·",D35&amp;" ·")-1))+1)&lt;&gt;LEFT(D35,FIND(" ·",D35&amp;" ·")-1)&amp;"."),"⚠ Sous-phase hors phase",IF(AND(I35&lt;&gt;"",IFERROR(OR(I35&lt;INDEX('08 Phases'!$F$9:$F$38,MATCH(D35,'08 Phases'!$B$9:$B$38,0)),I35&gt;INDEX('08 Phases'!$G$9:$G$38,MATCH(D35,'08 Phases'!$B$9:$B$38,0))),FALSE)),"◔ Date hors période de la phase","✓"))))</f>
        <v/>
      </c>
    </row>
    <row r="36" spans="2:11" ht="21" customHeight="1" x14ac:dyDescent="0.25">
      <c r="B36" s="44" t="str">
        <f t="shared" si="0"/>
        <v/>
      </c>
      <c r="C36" s="43"/>
      <c r="D36" s="43"/>
      <c r="E36" s="43"/>
      <c r="F36" s="43"/>
      <c r="G36" s="43"/>
      <c r="H36" s="43"/>
      <c r="I36" s="46"/>
      <c r="J36" s="46"/>
      <c r="K36" s="45" t="str">
        <f>IF(C36="","",IF(D36="","⚠ Phase manquante",IF(AND(E36&lt;&gt;"",LEFT(E36,LEN(LEFT(D36,FIND(" ·",D36&amp;" ·")-1))+1)&lt;&gt;LEFT(D36,FIND(" ·",D36&amp;" ·")-1)&amp;"."),"⚠ Sous-phase hors phase",IF(AND(I36&lt;&gt;"",IFERROR(OR(I36&lt;INDEX('08 Phases'!$F$9:$F$38,MATCH(D36,'08 Phases'!$B$9:$B$38,0)),I36&gt;INDEX('08 Phases'!$G$9:$G$38,MATCH(D36,'08 Phases'!$B$9:$B$38,0))),FALSE)),"◔ Date hors période de la phase","✓"))))</f>
        <v/>
      </c>
    </row>
    <row r="37" spans="2:11" ht="21" customHeight="1" x14ac:dyDescent="0.25">
      <c r="B37" s="44" t="str">
        <f t="shared" si="0"/>
        <v/>
      </c>
      <c r="C37" s="43"/>
      <c r="D37" s="43"/>
      <c r="E37" s="43"/>
      <c r="F37" s="43"/>
      <c r="G37" s="43"/>
      <c r="H37" s="43"/>
      <c r="I37" s="46"/>
      <c r="J37" s="46"/>
      <c r="K37" s="45" t="str">
        <f>IF(C37="","",IF(D37="","⚠ Phase manquante",IF(AND(E37&lt;&gt;"",LEFT(E37,LEN(LEFT(D37,FIND(" ·",D37&amp;" ·")-1))+1)&lt;&gt;LEFT(D37,FIND(" ·",D37&amp;" ·")-1)&amp;"."),"⚠ Sous-phase hors phase",IF(AND(I37&lt;&gt;"",IFERROR(OR(I37&lt;INDEX('08 Phases'!$F$9:$F$38,MATCH(D37,'08 Phases'!$B$9:$B$38,0)),I37&gt;INDEX('08 Phases'!$G$9:$G$38,MATCH(D37,'08 Phases'!$B$9:$B$38,0))),FALSE)),"◔ Date hors période de la phase","✓"))))</f>
        <v/>
      </c>
    </row>
    <row r="38" spans="2:11" ht="21" customHeight="1" x14ac:dyDescent="0.25">
      <c r="B38" s="44" t="str">
        <f t="shared" si="0"/>
        <v/>
      </c>
      <c r="C38" s="43"/>
      <c r="D38" s="43"/>
      <c r="E38" s="43"/>
      <c r="F38" s="43"/>
      <c r="G38" s="43"/>
      <c r="H38" s="43"/>
      <c r="I38" s="46"/>
      <c r="J38" s="46"/>
      <c r="K38" s="45" t="str">
        <f>IF(C38="","",IF(D38="","⚠ Phase manquante",IF(AND(E38&lt;&gt;"",LEFT(E38,LEN(LEFT(D38,FIND(" ·",D38&amp;" ·")-1))+1)&lt;&gt;LEFT(D38,FIND(" ·",D38&amp;" ·")-1)&amp;"."),"⚠ Sous-phase hors phase",IF(AND(I38&lt;&gt;"",IFERROR(OR(I38&lt;INDEX('08 Phases'!$F$9:$F$38,MATCH(D38,'08 Phases'!$B$9:$B$38,0)),I38&gt;INDEX('08 Phases'!$G$9:$G$38,MATCH(D38,'08 Phases'!$B$9:$B$38,0))),FALSE)),"◔ Date hors période de la phase","✓"))))</f>
        <v/>
      </c>
    </row>
    <row r="39" spans="2:11" ht="21" customHeight="1" x14ac:dyDescent="0.25">
      <c r="B39" s="44" t="str">
        <f t="shared" si="0"/>
        <v/>
      </c>
      <c r="C39" s="43"/>
      <c r="D39" s="43"/>
      <c r="E39" s="43"/>
      <c r="F39" s="43"/>
      <c r="G39" s="43"/>
      <c r="H39" s="43"/>
      <c r="I39" s="46"/>
      <c r="J39" s="46"/>
      <c r="K39" s="45" t="str">
        <f>IF(C39="","",IF(D39="","⚠ Phase manquante",IF(AND(E39&lt;&gt;"",LEFT(E39,LEN(LEFT(D39,FIND(" ·",D39&amp;" ·")-1))+1)&lt;&gt;LEFT(D39,FIND(" ·",D39&amp;" ·")-1)&amp;"."),"⚠ Sous-phase hors phase",IF(AND(I39&lt;&gt;"",IFERROR(OR(I39&lt;INDEX('08 Phases'!$F$9:$F$38,MATCH(D39,'08 Phases'!$B$9:$B$38,0)),I39&gt;INDEX('08 Phases'!$G$9:$G$38,MATCH(D39,'08 Phases'!$B$9:$B$38,0))),FALSE)),"◔ Date hors période de la phase","✓"))))</f>
        <v/>
      </c>
    </row>
    <row r="40" spans="2:11" ht="21" customHeight="1" x14ac:dyDescent="0.25">
      <c r="B40" s="44" t="str">
        <f t="shared" si="0"/>
        <v/>
      </c>
      <c r="C40" s="43"/>
      <c r="D40" s="43"/>
      <c r="E40" s="43"/>
      <c r="F40" s="43"/>
      <c r="G40" s="43"/>
      <c r="H40" s="43"/>
      <c r="I40" s="46"/>
      <c r="J40" s="46"/>
      <c r="K40" s="45" t="str">
        <f>IF(C40="","",IF(D40="","⚠ Phase manquante",IF(AND(E40&lt;&gt;"",LEFT(E40,LEN(LEFT(D40,FIND(" ·",D40&amp;" ·")-1))+1)&lt;&gt;LEFT(D40,FIND(" ·",D40&amp;" ·")-1)&amp;"."),"⚠ Sous-phase hors phase",IF(AND(I40&lt;&gt;"",IFERROR(OR(I40&lt;INDEX('08 Phases'!$F$9:$F$38,MATCH(D40,'08 Phases'!$B$9:$B$38,0)),I40&gt;INDEX('08 Phases'!$G$9:$G$38,MATCH(D40,'08 Phases'!$B$9:$B$38,0))),FALSE)),"◔ Date hors période de la phase","✓"))))</f>
        <v/>
      </c>
    </row>
    <row r="41" spans="2:11" ht="21" customHeight="1" x14ac:dyDescent="0.25">
      <c r="B41" s="44" t="str">
        <f t="shared" ref="B41:B72" si="1">IF(C41="","","J"&amp;TEXT(ROW()-8,"00"))</f>
        <v/>
      </c>
      <c r="C41" s="43"/>
      <c r="D41" s="43"/>
      <c r="E41" s="43"/>
      <c r="F41" s="43"/>
      <c r="G41" s="43"/>
      <c r="H41" s="43"/>
      <c r="I41" s="46"/>
      <c r="J41" s="46"/>
      <c r="K41" s="45" t="str">
        <f>IF(C41="","",IF(D41="","⚠ Phase manquante",IF(AND(E41&lt;&gt;"",LEFT(E41,LEN(LEFT(D41,FIND(" ·",D41&amp;" ·")-1))+1)&lt;&gt;LEFT(D41,FIND(" ·",D41&amp;" ·")-1)&amp;"."),"⚠ Sous-phase hors phase",IF(AND(I41&lt;&gt;"",IFERROR(OR(I41&lt;INDEX('08 Phases'!$F$9:$F$38,MATCH(D41,'08 Phases'!$B$9:$B$38,0)),I41&gt;INDEX('08 Phases'!$G$9:$G$38,MATCH(D41,'08 Phases'!$B$9:$B$38,0))),FALSE)),"◔ Date hors période de la phase","✓"))))</f>
        <v/>
      </c>
    </row>
    <row r="42" spans="2:11" ht="21" customHeight="1" x14ac:dyDescent="0.25">
      <c r="B42" s="44" t="str">
        <f t="shared" si="1"/>
        <v/>
      </c>
      <c r="C42" s="43"/>
      <c r="D42" s="43"/>
      <c r="E42" s="43"/>
      <c r="F42" s="43"/>
      <c r="G42" s="43"/>
      <c r="H42" s="43"/>
      <c r="I42" s="46"/>
      <c r="J42" s="46"/>
      <c r="K42" s="45" t="str">
        <f>IF(C42="","",IF(D42="","⚠ Phase manquante",IF(AND(E42&lt;&gt;"",LEFT(E42,LEN(LEFT(D42,FIND(" ·",D42&amp;" ·")-1))+1)&lt;&gt;LEFT(D42,FIND(" ·",D42&amp;" ·")-1)&amp;"."),"⚠ Sous-phase hors phase",IF(AND(I42&lt;&gt;"",IFERROR(OR(I42&lt;INDEX('08 Phases'!$F$9:$F$38,MATCH(D42,'08 Phases'!$B$9:$B$38,0)),I42&gt;INDEX('08 Phases'!$G$9:$G$38,MATCH(D42,'08 Phases'!$B$9:$B$38,0))),FALSE)),"◔ Date hors période de la phase","✓"))))</f>
        <v/>
      </c>
    </row>
    <row r="43" spans="2:11" ht="21" customHeight="1" x14ac:dyDescent="0.25">
      <c r="B43" s="44" t="str">
        <f t="shared" si="1"/>
        <v/>
      </c>
      <c r="C43" s="43"/>
      <c r="D43" s="43"/>
      <c r="E43" s="43"/>
      <c r="F43" s="43"/>
      <c r="G43" s="43"/>
      <c r="H43" s="43"/>
      <c r="I43" s="46"/>
      <c r="J43" s="46"/>
      <c r="K43" s="45" t="str">
        <f>IF(C43="","",IF(D43="","⚠ Phase manquante",IF(AND(E43&lt;&gt;"",LEFT(E43,LEN(LEFT(D43,FIND(" ·",D43&amp;" ·")-1))+1)&lt;&gt;LEFT(D43,FIND(" ·",D43&amp;" ·")-1)&amp;"."),"⚠ Sous-phase hors phase",IF(AND(I43&lt;&gt;"",IFERROR(OR(I43&lt;INDEX('08 Phases'!$F$9:$F$38,MATCH(D43,'08 Phases'!$B$9:$B$38,0)),I43&gt;INDEX('08 Phases'!$G$9:$G$38,MATCH(D43,'08 Phases'!$B$9:$B$38,0))),FALSE)),"◔ Date hors période de la phase","✓"))))</f>
        <v/>
      </c>
    </row>
    <row r="44" spans="2:11" ht="21" customHeight="1" x14ac:dyDescent="0.25">
      <c r="B44" s="44" t="str">
        <f t="shared" si="1"/>
        <v/>
      </c>
      <c r="C44" s="43"/>
      <c r="D44" s="43"/>
      <c r="E44" s="43"/>
      <c r="F44" s="43"/>
      <c r="G44" s="43"/>
      <c r="H44" s="43"/>
      <c r="I44" s="46"/>
      <c r="J44" s="46"/>
      <c r="K44" s="45" t="str">
        <f>IF(C44="","",IF(D44="","⚠ Phase manquante",IF(AND(E44&lt;&gt;"",LEFT(E44,LEN(LEFT(D44,FIND(" ·",D44&amp;" ·")-1))+1)&lt;&gt;LEFT(D44,FIND(" ·",D44&amp;" ·")-1)&amp;"."),"⚠ Sous-phase hors phase",IF(AND(I44&lt;&gt;"",IFERROR(OR(I44&lt;INDEX('08 Phases'!$F$9:$F$38,MATCH(D44,'08 Phases'!$B$9:$B$38,0)),I44&gt;INDEX('08 Phases'!$G$9:$G$38,MATCH(D44,'08 Phases'!$B$9:$B$38,0))),FALSE)),"◔ Date hors période de la phase","✓"))))</f>
        <v/>
      </c>
    </row>
    <row r="45" spans="2:11" ht="21" customHeight="1" x14ac:dyDescent="0.25">
      <c r="B45" s="44" t="str">
        <f t="shared" si="1"/>
        <v/>
      </c>
      <c r="C45" s="43"/>
      <c r="D45" s="43"/>
      <c r="E45" s="43"/>
      <c r="F45" s="43"/>
      <c r="G45" s="43"/>
      <c r="H45" s="43"/>
      <c r="I45" s="46"/>
      <c r="J45" s="46"/>
      <c r="K45" s="45" t="str">
        <f>IF(C45="","",IF(D45="","⚠ Phase manquante",IF(AND(E45&lt;&gt;"",LEFT(E45,LEN(LEFT(D45,FIND(" ·",D45&amp;" ·")-1))+1)&lt;&gt;LEFT(D45,FIND(" ·",D45&amp;" ·")-1)&amp;"."),"⚠ Sous-phase hors phase",IF(AND(I45&lt;&gt;"",IFERROR(OR(I45&lt;INDEX('08 Phases'!$F$9:$F$38,MATCH(D45,'08 Phases'!$B$9:$B$38,0)),I45&gt;INDEX('08 Phases'!$G$9:$G$38,MATCH(D45,'08 Phases'!$B$9:$B$38,0))),FALSE)),"◔ Date hors période de la phase","✓"))))</f>
        <v/>
      </c>
    </row>
    <row r="46" spans="2:11" ht="21" customHeight="1" x14ac:dyDescent="0.25">
      <c r="B46" s="44" t="str">
        <f t="shared" si="1"/>
        <v/>
      </c>
      <c r="C46" s="43"/>
      <c r="D46" s="43"/>
      <c r="E46" s="43"/>
      <c r="F46" s="43"/>
      <c r="G46" s="43"/>
      <c r="H46" s="43"/>
      <c r="I46" s="46"/>
      <c r="J46" s="46"/>
      <c r="K46" s="45" t="str">
        <f>IF(C46="","",IF(D46="","⚠ Phase manquante",IF(AND(E46&lt;&gt;"",LEFT(E46,LEN(LEFT(D46,FIND(" ·",D46&amp;" ·")-1))+1)&lt;&gt;LEFT(D46,FIND(" ·",D46&amp;" ·")-1)&amp;"."),"⚠ Sous-phase hors phase",IF(AND(I46&lt;&gt;"",IFERROR(OR(I46&lt;INDEX('08 Phases'!$F$9:$F$38,MATCH(D46,'08 Phases'!$B$9:$B$38,0)),I46&gt;INDEX('08 Phases'!$G$9:$G$38,MATCH(D46,'08 Phases'!$B$9:$B$38,0))),FALSE)),"◔ Date hors période de la phase","✓"))))</f>
        <v/>
      </c>
    </row>
    <row r="47" spans="2:11" ht="21" customHeight="1" x14ac:dyDescent="0.25">
      <c r="B47" s="44" t="str">
        <f t="shared" si="1"/>
        <v/>
      </c>
      <c r="C47" s="43"/>
      <c r="D47" s="43"/>
      <c r="E47" s="43"/>
      <c r="F47" s="43"/>
      <c r="G47" s="43"/>
      <c r="H47" s="43"/>
      <c r="I47" s="46"/>
      <c r="J47" s="46"/>
      <c r="K47" s="45" t="str">
        <f>IF(C47="","",IF(D47="","⚠ Phase manquante",IF(AND(E47&lt;&gt;"",LEFT(E47,LEN(LEFT(D47,FIND(" ·",D47&amp;" ·")-1))+1)&lt;&gt;LEFT(D47,FIND(" ·",D47&amp;" ·")-1)&amp;"."),"⚠ Sous-phase hors phase",IF(AND(I47&lt;&gt;"",IFERROR(OR(I47&lt;INDEX('08 Phases'!$F$9:$F$38,MATCH(D47,'08 Phases'!$B$9:$B$38,0)),I47&gt;INDEX('08 Phases'!$G$9:$G$38,MATCH(D47,'08 Phases'!$B$9:$B$38,0))),FALSE)),"◔ Date hors période de la phase","✓"))))</f>
        <v/>
      </c>
    </row>
    <row r="48" spans="2:11" ht="21" customHeight="1" x14ac:dyDescent="0.25">
      <c r="B48" s="44" t="str">
        <f t="shared" si="1"/>
        <v/>
      </c>
      <c r="C48" s="43"/>
      <c r="D48" s="43"/>
      <c r="E48" s="43"/>
      <c r="F48" s="43"/>
      <c r="G48" s="43"/>
      <c r="H48" s="43"/>
      <c r="I48" s="46"/>
      <c r="J48" s="46"/>
      <c r="K48" s="45" t="str">
        <f>IF(C48="","",IF(D48="","⚠ Phase manquante",IF(AND(E48&lt;&gt;"",LEFT(E48,LEN(LEFT(D48,FIND(" ·",D48&amp;" ·")-1))+1)&lt;&gt;LEFT(D48,FIND(" ·",D48&amp;" ·")-1)&amp;"."),"⚠ Sous-phase hors phase",IF(AND(I48&lt;&gt;"",IFERROR(OR(I48&lt;INDEX('08 Phases'!$F$9:$F$38,MATCH(D48,'08 Phases'!$B$9:$B$38,0)),I48&gt;INDEX('08 Phases'!$G$9:$G$38,MATCH(D48,'08 Phases'!$B$9:$B$38,0))),FALSE)),"◔ Date hors période de la phase","✓"))))</f>
        <v/>
      </c>
    </row>
    <row r="49" spans="2:11" ht="21" customHeight="1" x14ac:dyDescent="0.25">
      <c r="B49" s="44" t="str">
        <f t="shared" si="1"/>
        <v/>
      </c>
      <c r="C49" s="43"/>
      <c r="D49" s="43"/>
      <c r="E49" s="43"/>
      <c r="F49" s="43"/>
      <c r="G49" s="43"/>
      <c r="H49" s="43"/>
      <c r="I49" s="46"/>
      <c r="J49" s="46"/>
      <c r="K49" s="45" t="str">
        <f>IF(C49="","",IF(D49="","⚠ Phase manquante",IF(AND(E49&lt;&gt;"",LEFT(E49,LEN(LEFT(D49,FIND(" ·",D49&amp;" ·")-1))+1)&lt;&gt;LEFT(D49,FIND(" ·",D49&amp;" ·")-1)&amp;"."),"⚠ Sous-phase hors phase",IF(AND(I49&lt;&gt;"",IFERROR(OR(I49&lt;INDEX('08 Phases'!$F$9:$F$38,MATCH(D49,'08 Phases'!$B$9:$B$38,0)),I49&gt;INDEX('08 Phases'!$G$9:$G$38,MATCH(D49,'08 Phases'!$B$9:$B$38,0))),FALSE)),"◔ Date hors période de la phase","✓"))))</f>
        <v/>
      </c>
    </row>
    <row r="50" spans="2:11" ht="21" customHeight="1" x14ac:dyDescent="0.25">
      <c r="B50" s="44" t="str">
        <f t="shared" si="1"/>
        <v/>
      </c>
      <c r="C50" s="43"/>
      <c r="D50" s="43"/>
      <c r="E50" s="43"/>
      <c r="F50" s="43"/>
      <c r="G50" s="43"/>
      <c r="H50" s="43"/>
      <c r="I50" s="46"/>
      <c r="J50" s="46"/>
      <c r="K50" s="45" t="str">
        <f>IF(C50="","",IF(D50="","⚠ Phase manquante",IF(AND(E50&lt;&gt;"",LEFT(E50,LEN(LEFT(D50,FIND(" ·",D50&amp;" ·")-1))+1)&lt;&gt;LEFT(D50,FIND(" ·",D50&amp;" ·")-1)&amp;"."),"⚠ Sous-phase hors phase",IF(AND(I50&lt;&gt;"",IFERROR(OR(I50&lt;INDEX('08 Phases'!$F$9:$F$38,MATCH(D50,'08 Phases'!$B$9:$B$38,0)),I50&gt;INDEX('08 Phases'!$G$9:$G$38,MATCH(D50,'08 Phases'!$B$9:$B$38,0))),FALSE)),"◔ Date hors période de la phase","✓"))))</f>
        <v/>
      </c>
    </row>
    <row r="51" spans="2:11" ht="21" customHeight="1" x14ac:dyDescent="0.25">
      <c r="B51" s="44" t="str">
        <f t="shared" si="1"/>
        <v/>
      </c>
      <c r="C51" s="43"/>
      <c r="D51" s="43"/>
      <c r="E51" s="43"/>
      <c r="F51" s="43"/>
      <c r="G51" s="43"/>
      <c r="H51" s="43"/>
      <c r="I51" s="46"/>
      <c r="J51" s="46"/>
      <c r="K51" s="45" t="str">
        <f>IF(C51="","",IF(D51="","⚠ Phase manquante",IF(AND(E51&lt;&gt;"",LEFT(E51,LEN(LEFT(D51,FIND(" ·",D51&amp;" ·")-1))+1)&lt;&gt;LEFT(D51,FIND(" ·",D51&amp;" ·")-1)&amp;"."),"⚠ Sous-phase hors phase",IF(AND(I51&lt;&gt;"",IFERROR(OR(I51&lt;INDEX('08 Phases'!$F$9:$F$38,MATCH(D51,'08 Phases'!$B$9:$B$38,0)),I51&gt;INDEX('08 Phases'!$G$9:$G$38,MATCH(D51,'08 Phases'!$B$9:$B$38,0))),FALSE)),"◔ Date hors période de la phase","✓"))))</f>
        <v/>
      </c>
    </row>
    <row r="52" spans="2:11" ht="21" customHeight="1" x14ac:dyDescent="0.25">
      <c r="B52" s="44" t="str">
        <f t="shared" si="1"/>
        <v/>
      </c>
      <c r="C52" s="43"/>
      <c r="D52" s="43"/>
      <c r="E52" s="43"/>
      <c r="F52" s="43"/>
      <c r="G52" s="43"/>
      <c r="H52" s="43"/>
      <c r="I52" s="46"/>
      <c r="J52" s="46"/>
      <c r="K52" s="45" t="str">
        <f>IF(C52="","",IF(D52="","⚠ Phase manquante",IF(AND(E52&lt;&gt;"",LEFT(E52,LEN(LEFT(D52,FIND(" ·",D52&amp;" ·")-1))+1)&lt;&gt;LEFT(D52,FIND(" ·",D52&amp;" ·")-1)&amp;"."),"⚠ Sous-phase hors phase",IF(AND(I52&lt;&gt;"",IFERROR(OR(I52&lt;INDEX('08 Phases'!$F$9:$F$38,MATCH(D52,'08 Phases'!$B$9:$B$38,0)),I52&gt;INDEX('08 Phases'!$G$9:$G$38,MATCH(D52,'08 Phases'!$B$9:$B$38,0))),FALSE)),"◔ Date hors période de la phase","✓"))))</f>
        <v/>
      </c>
    </row>
    <row r="53" spans="2:11" ht="21" customHeight="1" x14ac:dyDescent="0.25">
      <c r="B53" s="44" t="str">
        <f t="shared" si="1"/>
        <v/>
      </c>
      <c r="C53" s="43"/>
      <c r="D53" s="43"/>
      <c r="E53" s="43"/>
      <c r="F53" s="43"/>
      <c r="G53" s="43"/>
      <c r="H53" s="43"/>
      <c r="I53" s="46"/>
      <c r="J53" s="46"/>
      <c r="K53" s="45" t="str">
        <f>IF(C53="","",IF(D53="","⚠ Phase manquante",IF(AND(E53&lt;&gt;"",LEFT(E53,LEN(LEFT(D53,FIND(" ·",D53&amp;" ·")-1))+1)&lt;&gt;LEFT(D53,FIND(" ·",D53&amp;" ·")-1)&amp;"."),"⚠ Sous-phase hors phase",IF(AND(I53&lt;&gt;"",IFERROR(OR(I53&lt;INDEX('08 Phases'!$F$9:$F$38,MATCH(D53,'08 Phases'!$B$9:$B$38,0)),I53&gt;INDEX('08 Phases'!$G$9:$G$38,MATCH(D53,'08 Phases'!$B$9:$B$38,0))),FALSE)),"◔ Date hors période de la phase","✓"))))</f>
        <v/>
      </c>
    </row>
    <row r="54" spans="2:11" ht="21" customHeight="1" x14ac:dyDescent="0.25">
      <c r="B54" s="44" t="str">
        <f t="shared" si="1"/>
        <v/>
      </c>
      <c r="C54" s="43"/>
      <c r="D54" s="43"/>
      <c r="E54" s="43"/>
      <c r="F54" s="43"/>
      <c r="G54" s="43"/>
      <c r="H54" s="43"/>
      <c r="I54" s="46"/>
      <c r="J54" s="46"/>
      <c r="K54" s="45" t="str">
        <f>IF(C54="","",IF(D54="","⚠ Phase manquante",IF(AND(E54&lt;&gt;"",LEFT(E54,LEN(LEFT(D54,FIND(" ·",D54&amp;" ·")-1))+1)&lt;&gt;LEFT(D54,FIND(" ·",D54&amp;" ·")-1)&amp;"."),"⚠ Sous-phase hors phase",IF(AND(I54&lt;&gt;"",IFERROR(OR(I54&lt;INDEX('08 Phases'!$F$9:$F$38,MATCH(D54,'08 Phases'!$B$9:$B$38,0)),I54&gt;INDEX('08 Phases'!$G$9:$G$38,MATCH(D54,'08 Phases'!$B$9:$B$38,0))),FALSE)),"◔ Date hors période de la phase","✓"))))</f>
        <v/>
      </c>
    </row>
    <row r="55" spans="2:11" ht="21" customHeight="1" x14ac:dyDescent="0.25">
      <c r="B55" s="44" t="str">
        <f t="shared" si="1"/>
        <v/>
      </c>
      <c r="C55" s="43"/>
      <c r="D55" s="43"/>
      <c r="E55" s="43"/>
      <c r="F55" s="43"/>
      <c r="G55" s="43"/>
      <c r="H55" s="43"/>
      <c r="I55" s="46"/>
      <c r="J55" s="46"/>
      <c r="K55" s="45" t="str">
        <f>IF(C55="","",IF(D55="","⚠ Phase manquante",IF(AND(E55&lt;&gt;"",LEFT(E55,LEN(LEFT(D55,FIND(" ·",D55&amp;" ·")-1))+1)&lt;&gt;LEFT(D55,FIND(" ·",D55&amp;" ·")-1)&amp;"."),"⚠ Sous-phase hors phase",IF(AND(I55&lt;&gt;"",IFERROR(OR(I55&lt;INDEX('08 Phases'!$F$9:$F$38,MATCH(D55,'08 Phases'!$B$9:$B$38,0)),I55&gt;INDEX('08 Phases'!$G$9:$G$38,MATCH(D55,'08 Phases'!$B$9:$B$38,0))),FALSE)),"◔ Date hors période de la phase","✓"))))</f>
        <v/>
      </c>
    </row>
    <row r="56" spans="2:11" ht="21" customHeight="1" x14ac:dyDescent="0.25">
      <c r="B56" s="44" t="str">
        <f t="shared" si="1"/>
        <v/>
      </c>
      <c r="C56" s="43"/>
      <c r="D56" s="43"/>
      <c r="E56" s="43"/>
      <c r="F56" s="43"/>
      <c r="G56" s="43"/>
      <c r="H56" s="43"/>
      <c r="I56" s="46"/>
      <c r="J56" s="46"/>
      <c r="K56" s="45" t="str">
        <f>IF(C56="","",IF(D56="","⚠ Phase manquante",IF(AND(E56&lt;&gt;"",LEFT(E56,LEN(LEFT(D56,FIND(" ·",D56&amp;" ·")-1))+1)&lt;&gt;LEFT(D56,FIND(" ·",D56&amp;" ·")-1)&amp;"."),"⚠ Sous-phase hors phase",IF(AND(I56&lt;&gt;"",IFERROR(OR(I56&lt;INDEX('08 Phases'!$F$9:$F$38,MATCH(D56,'08 Phases'!$B$9:$B$38,0)),I56&gt;INDEX('08 Phases'!$G$9:$G$38,MATCH(D56,'08 Phases'!$B$9:$B$38,0))),FALSE)),"◔ Date hors période de la phase","✓"))))</f>
        <v/>
      </c>
    </row>
    <row r="57" spans="2:11" ht="21" customHeight="1" x14ac:dyDescent="0.25">
      <c r="B57" s="44" t="str">
        <f t="shared" si="1"/>
        <v/>
      </c>
      <c r="C57" s="43"/>
      <c r="D57" s="43"/>
      <c r="E57" s="43"/>
      <c r="F57" s="43"/>
      <c r="G57" s="43"/>
      <c r="H57" s="43"/>
      <c r="I57" s="46"/>
      <c r="J57" s="46"/>
      <c r="K57" s="45" t="str">
        <f>IF(C57="","",IF(D57="","⚠ Phase manquante",IF(AND(E57&lt;&gt;"",LEFT(E57,LEN(LEFT(D57,FIND(" ·",D57&amp;" ·")-1))+1)&lt;&gt;LEFT(D57,FIND(" ·",D57&amp;" ·")-1)&amp;"."),"⚠ Sous-phase hors phase",IF(AND(I57&lt;&gt;"",IFERROR(OR(I57&lt;INDEX('08 Phases'!$F$9:$F$38,MATCH(D57,'08 Phases'!$B$9:$B$38,0)),I57&gt;INDEX('08 Phases'!$G$9:$G$38,MATCH(D57,'08 Phases'!$B$9:$B$38,0))),FALSE)),"◔ Date hors période de la phase","✓"))))</f>
        <v/>
      </c>
    </row>
    <row r="58" spans="2:11" ht="21" customHeight="1" x14ac:dyDescent="0.25">
      <c r="B58" s="44" t="str">
        <f t="shared" si="1"/>
        <v/>
      </c>
      <c r="C58" s="43"/>
      <c r="D58" s="43"/>
      <c r="E58" s="43"/>
      <c r="F58" s="43"/>
      <c r="G58" s="43"/>
      <c r="H58" s="43"/>
      <c r="I58" s="46"/>
      <c r="J58" s="46"/>
      <c r="K58" s="45" t="str">
        <f>IF(C58="","",IF(D58="","⚠ Phase manquante",IF(AND(E58&lt;&gt;"",LEFT(E58,LEN(LEFT(D58,FIND(" ·",D58&amp;" ·")-1))+1)&lt;&gt;LEFT(D58,FIND(" ·",D58&amp;" ·")-1)&amp;"."),"⚠ Sous-phase hors phase",IF(AND(I58&lt;&gt;"",IFERROR(OR(I58&lt;INDEX('08 Phases'!$F$9:$F$38,MATCH(D58,'08 Phases'!$B$9:$B$38,0)),I58&gt;INDEX('08 Phases'!$G$9:$G$38,MATCH(D58,'08 Phases'!$B$9:$B$38,0))),FALSE)),"◔ Date hors période de la phase","✓"))))</f>
        <v/>
      </c>
    </row>
    <row r="59" spans="2:11" ht="21" customHeight="1" x14ac:dyDescent="0.25">
      <c r="B59" s="44" t="str">
        <f t="shared" si="1"/>
        <v/>
      </c>
      <c r="C59" s="43"/>
      <c r="D59" s="43"/>
      <c r="E59" s="43"/>
      <c r="F59" s="43"/>
      <c r="G59" s="43"/>
      <c r="H59" s="43"/>
      <c r="I59" s="46"/>
      <c r="J59" s="46"/>
      <c r="K59" s="45" t="str">
        <f>IF(C59="","",IF(D59="","⚠ Phase manquante",IF(AND(E59&lt;&gt;"",LEFT(E59,LEN(LEFT(D59,FIND(" ·",D59&amp;" ·")-1))+1)&lt;&gt;LEFT(D59,FIND(" ·",D59&amp;" ·")-1)&amp;"."),"⚠ Sous-phase hors phase",IF(AND(I59&lt;&gt;"",IFERROR(OR(I59&lt;INDEX('08 Phases'!$F$9:$F$38,MATCH(D59,'08 Phases'!$B$9:$B$38,0)),I59&gt;INDEX('08 Phases'!$G$9:$G$38,MATCH(D59,'08 Phases'!$B$9:$B$38,0))),FALSE)),"◔ Date hors période de la phase","✓"))))</f>
        <v/>
      </c>
    </row>
    <row r="60" spans="2:11" ht="21" customHeight="1" x14ac:dyDescent="0.25">
      <c r="B60" s="44" t="str">
        <f t="shared" si="1"/>
        <v/>
      </c>
      <c r="C60" s="43"/>
      <c r="D60" s="43"/>
      <c r="E60" s="43"/>
      <c r="F60" s="43"/>
      <c r="G60" s="43"/>
      <c r="H60" s="43"/>
      <c r="I60" s="46"/>
      <c r="J60" s="46"/>
      <c r="K60" s="45" t="str">
        <f>IF(C60="","",IF(D60="","⚠ Phase manquante",IF(AND(E60&lt;&gt;"",LEFT(E60,LEN(LEFT(D60,FIND(" ·",D60&amp;" ·")-1))+1)&lt;&gt;LEFT(D60,FIND(" ·",D60&amp;" ·")-1)&amp;"."),"⚠ Sous-phase hors phase",IF(AND(I60&lt;&gt;"",IFERROR(OR(I60&lt;INDEX('08 Phases'!$F$9:$F$38,MATCH(D60,'08 Phases'!$B$9:$B$38,0)),I60&gt;INDEX('08 Phases'!$G$9:$G$38,MATCH(D60,'08 Phases'!$B$9:$B$38,0))),FALSE)),"◔ Date hors période de la phase","✓"))))</f>
        <v/>
      </c>
    </row>
    <row r="61" spans="2:11" ht="21" customHeight="1" x14ac:dyDescent="0.25">
      <c r="B61" s="44" t="str">
        <f t="shared" si="1"/>
        <v/>
      </c>
      <c r="C61" s="43"/>
      <c r="D61" s="43"/>
      <c r="E61" s="43"/>
      <c r="F61" s="43"/>
      <c r="G61" s="43"/>
      <c r="H61" s="43"/>
      <c r="I61" s="46"/>
      <c r="J61" s="46"/>
      <c r="K61" s="45" t="str">
        <f>IF(C61="","",IF(D61="","⚠ Phase manquante",IF(AND(E61&lt;&gt;"",LEFT(E61,LEN(LEFT(D61,FIND(" ·",D61&amp;" ·")-1))+1)&lt;&gt;LEFT(D61,FIND(" ·",D61&amp;" ·")-1)&amp;"."),"⚠ Sous-phase hors phase",IF(AND(I61&lt;&gt;"",IFERROR(OR(I61&lt;INDEX('08 Phases'!$F$9:$F$38,MATCH(D61,'08 Phases'!$B$9:$B$38,0)),I61&gt;INDEX('08 Phases'!$G$9:$G$38,MATCH(D61,'08 Phases'!$B$9:$B$38,0))),FALSE)),"◔ Date hors période de la phase","✓"))))</f>
        <v/>
      </c>
    </row>
    <row r="62" spans="2:11" ht="21" customHeight="1" x14ac:dyDescent="0.25">
      <c r="B62" s="44" t="str">
        <f t="shared" si="1"/>
        <v/>
      </c>
      <c r="C62" s="43"/>
      <c r="D62" s="43"/>
      <c r="E62" s="43"/>
      <c r="F62" s="43"/>
      <c r="G62" s="43"/>
      <c r="H62" s="43"/>
      <c r="I62" s="46"/>
      <c r="J62" s="46"/>
      <c r="K62" s="45" t="str">
        <f>IF(C62="","",IF(D62="","⚠ Phase manquante",IF(AND(E62&lt;&gt;"",LEFT(E62,LEN(LEFT(D62,FIND(" ·",D62&amp;" ·")-1))+1)&lt;&gt;LEFT(D62,FIND(" ·",D62&amp;" ·")-1)&amp;"."),"⚠ Sous-phase hors phase",IF(AND(I62&lt;&gt;"",IFERROR(OR(I62&lt;INDEX('08 Phases'!$F$9:$F$38,MATCH(D62,'08 Phases'!$B$9:$B$38,0)),I62&gt;INDEX('08 Phases'!$G$9:$G$38,MATCH(D62,'08 Phases'!$B$9:$B$38,0))),FALSE)),"◔ Date hors période de la phase","✓"))))</f>
        <v/>
      </c>
    </row>
    <row r="63" spans="2:11" ht="21" customHeight="1" x14ac:dyDescent="0.25">
      <c r="B63" s="44" t="str">
        <f t="shared" si="1"/>
        <v/>
      </c>
      <c r="C63" s="43"/>
      <c r="D63" s="43"/>
      <c r="E63" s="43"/>
      <c r="F63" s="43"/>
      <c r="G63" s="43"/>
      <c r="H63" s="43"/>
      <c r="I63" s="46"/>
      <c r="J63" s="46"/>
      <c r="K63" s="45" t="str">
        <f>IF(C63="","",IF(D63="","⚠ Phase manquante",IF(AND(E63&lt;&gt;"",LEFT(E63,LEN(LEFT(D63,FIND(" ·",D63&amp;" ·")-1))+1)&lt;&gt;LEFT(D63,FIND(" ·",D63&amp;" ·")-1)&amp;"."),"⚠ Sous-phase hors phase",IF(AND(I63&lt;&gt;"",IFERROR(OR(I63&lt;INDEX('08 Phases'!$F$9:$F$38,MATCH(D63,'08 Phases'!$B$9:$B$38,0)),I63&gt;INDEX('08 Phases'!$G$9:$G$38,MATCH(D63,'08 Phases'!$B$9:$B$38,0))),FALSE)),"◔ Date hors période de la phase","✓"))))</f>
        <v/>
      </c>
    </row>
    <row r="64" spans="2:11" ht="21" customHeight="1" x14ac:dyDescent="0.25">
      <c r="B64" s="44" t="str">
        <f t="shared" si="1"/>
        <v/>
      </c>
      <c r="C64" s="43"/>
      <c r="D64" s="43"/>
      <c r="E64" s="43"/>
      <c r="F64" s="43"/>
      <c r="G64" s="43"/>
      <c r="H64" s="43"/>
      <c r="I64" s="46"/>
      <c r="J64" s="46"/>
      <c r="K64" s="45" t="str">
        <f>IF(C64="","",IF(D64="","⚠ Phase manquante",IF(AND(E64&lt;&gt;"",LEFT(E64,LEN(LEFT(D64,FIND(" ·",D64&amp;" ·")-1))+1)&lt;&gt;LEFT(D64,FIND(" ·",D64&amp;" ·")-1)&amp;"."),"⚠ Sous-phase hors phase",IF(AND(I64&lt;&gt;"",IFERROR(OR(I64&lt;INDEX('08 Phases'!$F$9:$F$38,MATCH(D64,'08 Phases'!$B$9:$B$38,0)),I64&gt;INDEX('08 Phases'!$G$9:$G$38,MATCH(D64,'08 Phases'!$B$9:$B$38,0))),FALSE)),"◔ Date hors période de la phase","✓"))))</f>
        <v/>
      </c>
    </row>
    <row r="65" spans="2:11" ht="21" customHeight="1" x14ac:dyDescent="0.25">
      <c r="B65" s="44" t="str">
        <f t="shared" si="1"/>
        <v/>
      </c>
      <c r="C65" s="43"/>
      <c r="D65" s="43"/>
      <c r="E65" s="43"/>
      <c r="F65" s="43"/>
      <c r="G65" s="43"/>
      <c r="H65" s="43"/>
      <c r="I65" s="46"/>
      <c r="J65" s="46"/>
      <c r="K65" s="45" t="str">
        <f>IF(C65="","",IF(D65="","⚠ Phase manquante",IF(AND(E65&lt;&gt;"",LEFT(E65,LEN(LEFT(D65,FIND(" ·",D65&amp;" ·")-1))+1)&lt;&gt;LEFT(D65,FIND(" ·",D65&amp;" ·")-1)&amp;"."),"⚠ Sous-phase hors phase",IF(AND(I65&lt;&gt;"",IFERROR(OR(I65&lt;INDEX('08 Phases'!$F$9:$F$38,MATCH(D65,'08 Phases'!$B$9:$B$38,0)),I65&gt;INDEX('08 Phases'!$G$9:$G$38,MATCH(D65,'08 Phases'!$B$9:$B$38,0))),FALSE)),"◔ Date hors période de la phase","✓"))))</f>
        <v/>
      </c>
    </row>
    <row r="66" spans="2:11" ht="21" customHeight="1" x14ac:dyDescent="0.25">
      <c r="B66" s="44" t="str">
        <f t="shared" si="1"/>
        <v/>
      </c>
      <c r="C66" s="43"/>
      <c r="D66" s="43"/>
      <c r="E66" s="43"/>
      <c r="F66" s="43"/>
      <c r="G66" s="43"/>
      <c r="H66" s="43"/>
      <c r="I66" s="46"/>
      <c r="J66" s="46"/>
      <c r="K66" s="45" t="str">
        <f>IF(C66="","",IF(D66="","⚠ Phase manquante",IF(AND(E66&lt;&gt;"",LEFT(E66,LEN(LEFT(D66,FIND(" ·",D66&amp;" ·")-1))+1)&lt;&gt;LEFT(D66,FIND(" ·",D66&amp;" ·")-1)&amp;"."),"⚠ Sous-phase hors phase",IF(AND(I66&lt;&gt;"",IFERROR(OR(I66&lt;INDEX('08 Phases'!$F$9:$F$38,MATCH(D66,'08 Phases'!$B$9:$B$38,0)),I66&gt;INDEX('08 Phases'!$G$9:$G$38,MATCH(D66,'08 Phases'!$B$9:$B$38,0))),FALSE)),"◔ Date hors période de la phase","✓"))))</f>
        <v/>
      </c>
    </row>
    <row r="67" spans="2:11" ht="21" customHeight="1" x14ac:dyDescent="0.25">
      <c r="B67" s="44" t="str">
        <f t="shared" si="1"/>
        <v/>
      </c>
      <c r="C67" s="43"/>
      <c r="D67" s="43"/>
      <c r="E67" s="43"/>
      <c r="F67" s="43"/>
      <c r="G67" s="43"/>
      <c r="H67" s="43"/>
      <c r="I67" s="46"/>
      <c r="J67" s="46"/>
      <c r="K67" s="45" t="str">
        <f>IF(C67="","",IF(D67="","⚠ Phase manquante",IF(AND(E67&lt;&gt;"",LEFT(E67,LEN(LEFT(D67,FIND(" ·",D67&amp;" ·")-1))+1)&lt;&gt;LEFT(D67,FIND(" ·",D67&amp;" ·")-1)&amp;"."),"⚠ Sous-phase hors phase",IF(AND(I67&lt;&gt;"",IFERROR(OR(I67&lt;INDEX('08 Phases'!$F$9:$F$38,MATCH(D67,'08 Phases'!$B$9:$B$38,0)),I67&gt;INDEX('08 Phases'!$G$9:$G$38,MATCH(D67,'08 Phases'!$B$9:$B$38,0))),FALSE)),"◔ Date hors période de la phase","✓"))))</f>
        <v/>
      </c>
    </row>
    <row r="68" spans="2:11" ht="21" customHeight="1" x14ac:dyDescent="0.25">
      <c r="B68" s="44" t="str">
        <f t="shared" si="1"/>
        <v/>
      </c>
      <c r="C68" s="43"/>
      <c r="D68" s="43"/>
      <c r="E68" s="43"/>
      <c r="F68" s="43"/>
      <c r="G68" s="43"/>
      <c r="H68" s="43"/>
      <c r="I68" s="46"/>
      <c r="J68" s="46"/>
      <c r="K68" s="45" t="str">
        <f>IF(C68="","",IF(D68="","⚠ Phase manquante",IF(AND(E68&lt;&gt;"",LEFT(E68,LEN(LEFT(D68,FIND(" ·",D68&amp;" ·")-1))+1)&lt;&gt;LEFT(D68,FIND(" ·",D68&amp;" ·")-1)&amp;"."),"⚠ Sous-phase hors phase",IF(AND(I68&lt;&gt;"",IFERROR(OR(I68&lt;INDEX('08 Phases'!$F$9:$F$38,MATCH(D68,'08 Phases'!$B$9:$B$38,0)),I68&gt;INDEX('08 Phases'!$G$9:$G$38,MATCH(D68,'08 Phases'!$B$9:$B$38,0))),FALSE)),"◔ Date hors période de la phase","✓"))))</f>
        <v/>
      </c>
    </row>
    <row r="69" spans="2:11" ht="21" customHeight="1" x14ac:dyDescent="0.25">
      <c r="B69" s="44" t="str">
        <f t="shared" si="1"/>
        <v/>
      </c>
      <c r="C69" s="43"/>
      <c r="D69" s="43"/>
      <c r="E69" s="43"/>
      <c r="F69" s="43"/>
      <c r="G69" s="43"/>
      <c r="H69" s="43"/>
      <c r="I69" s="46"/>
      <c r="J69" s="46"/>
      <c r="K69" s="45" t="str">
        <f>IF(C69="","",IF(D69="","⚠ Phase manquante",IF(AND(E69&lt;&gt;"",LEFT(E69,LEN(LEFT(D69,FIND(" ·",D69&amp;" ·")-1))+1)&lt;&gt;LEFT(D69,FIND(" ·",D69&amp;" ·")-1)&amp;"."),"⚠ Sous-phase hors phase",IF(AND(I69&lt;&gt;"",IFERROR(OR(I69&lt;INDEX('08 Phases'!$F$9:$F$38,MATCH(D69,'08 Phases'!$B$9:$B$38,0)),I69&gt;INDEX('08 Phases'!$G$9:$G$38,MATCH(D69,'08 Phases'!$B$9:$B$38,0))),FALSE)),"◔ Date hors période de la phase","✓"))))</f>
        <v/>
      </c>
    </row>
    <row r="70" spans="2:11" ht="21" customHeight="1" x14ac:dyDescent="0.25">
      <c r="B70" s="44" t="str">
        <f t="shared" si="1"/>
        <v/>
      </c>
      <c r="C70" s="43"/>
      <c r="D70" s="43"/>
      <c r="E70" s="43"/>
      <c r="F70" s="43"/>
      <c r="G70" s="43"/>
      <c r="H70" s="43"/>
      <c r="I70" s="46"/>
      <c r="J70" s="46"/>
      <c r="K70" s="45" t="str">
        <f>IF(C70="","",IF(D70="","⚠ Phase manquante",IF(AND(E70&lt;&gt;"",LEFT(E70,LEN(LEFT(D70,FIND(" ·",D70&amp;" ·")-1))+1)&lt;&gt;LEFT(D70,FIND(" ·",D70&amp;" ·")-1)&amp;"."),"⚠ Sous-phase hors phase",IF(AND(I70&lt;&gt;"",IFERROR(OR(I70&lt;INDEX('08 Phases'!$F$9:$F$38,MATCH(D70,'08 Phases'!$B$9:$B$38,0)),I70&gt;INDEX('08 Phases'!$G$9:$G$38,MATCH(D70,'08 Phases'!$B$9:$B$38,0))),FALSE)),"◔ Date hors période de la phase","✓"))))</f>
        <v/>
      </c>
    </row>
    <row r="71" spans="2:11" ht="21" customHeight="1" x14ac:dyDescent="0.25">
      <c r="B71" s="44" t="str">
        <f t="shared" si="1"/>
        <v/>
      </c>
      <c r="C71" s="43"/>
      <c r="D71" s="43"/>
      <c r="E71" s="43"/>
      <c r="F71" s="43"/>
      <c r="G71" s="43"/>
      <c r="H71" s="43"/>
      <c r="I71" s="46"/>
      <c r="J71" s="46"/>
      <c r="K71" s="45" t="str">
        <f>IF(C71="","",IF(D71="","⚠ Phase manquante",IF(AND(E71&lt;&gt;"",LEFT(E71,LEN(LEFT(D71,FIND(" ·",D71&amp;" ·")-1))+1)&lt;&gt;LEFT(D71,FIND(" ·",D71&amp;" ·")-1)&amp;"."),"⚠ Sous-phase hors phase",IF(AND(I71&lt;&gt;"",IFERROR(OR(I71&lt;INDEX('08 Phases'!$F$9:$F$38,MATCH(D71,'08 Phases'!$B$9:$B$38,0)),I71&gt;INDEX('08 Phases'!$G$9:$G$38,MATCH(D71,'08 Phases'!$B$9:$B$38,0))),FALSE)),"◔ Date hors période de la phase","✓"))))</f>
        <v/>
      </c>
    </row>
    <row r="72" spans="2:11" ht="21" customHeight="1" x14ac:dyDescent="0.25">
      <c r="B72" s="44" t="str">
        <f t="shared" si="1"/>
        <v/>
      </c>
      <c r="C72" s="43"/>
      <c r="D72" s="43"/>
      <c r="E72" s="43"/>
      <c r="F72" s="43"/>
      <c r="G72" s="43"/>
      <c r="H72" s="43"/>
      <c r="I72" s="46"/>
      <c r="J72" s="46"/>
      <c r="K72" s="45" t="str">
        <f>IF(C72="","",IF(D72="","⚠ Phase manquante",IF(AND(E72&lt;&gt;"",LEFT(E72,LEN(LEFT(D72,FIND(" ·",D72&amp;" ·")-1))+1)&lt;&gt;LEFT(D72,FIND(" ·",D72&amp;" ·")-1)&amp;"."),"⚠ Sous-phase hors phase",IF(AND(I72&lt;&gt;"",IFERROR(OR(I72&lt;INDEX('08 Phases'!$F$9:$F$38,MATCH(D72,'08 Phases'!$B$9:$B$38,0)),I72&gt;INDEX('08 Phases'!$G$9:$G$38,MATCH(D72,'08 Phases'!$B$9:$B$38,0))),FALSE)),"◔ Date hors période de la phase","✓"))))</f>
        <v/>
      </c>
    </row>
    <row r="73" spans="2:11" ht="21" customHeight="1" x14ac:dyDescent="0.25">
      <c r="B73" s="44" t="str">
        <f t="shared" ref="B73:B104" si="2">IF(C73="","","J"&amp;TEXT(ROW()-8,"00"))</f>
        <v/>
      </c>
      <c r="C73" s="43"/>
      <c r="D73" s="43"/>
      <c r="E73" s="43"/>
      <c r="F73" s="43"/>
      <c r="G73" s="43"/>
      <c r="H73" s="43"/>
      <c r="I73" s="46"/>
      <c r="J73" s="46"/>
      <c r="K73" s="45" t="str">
        <f>IF(C73="","",IF(D73="","⚠ Phase manquante",IF(AND(E73&lt;&gt;"",LEFT(E73,LEN(LEFT(D73,FIND(" ·",D73&amp;" ·")-1))+1)&lt;&gt;LEFT(D73,FIND(" ·",D73&amp;" ·")-1)&amp;"."),"⚠ Sous-phase hors phase",IF(AND(I73&lt;&gt;"",IFERROR(OR(I73&lt;INDEX('08 Phases'!$F$9:$F$38,MATCH(D73,'08 Phases'!$B$9:$B$38,0)),I73&gt;INDEX('08 Phases'!$G$9:$G$38,MATCH(D73,'08 Phases'!$B$9:$B$38,0))),FALSE)),"◔ Date hors période de la phase","✓"))))</f>
        <v/>
      </c>
    </row>
    <row r="74" spans="2:11" ht="21" customHeight="1" x14ac:dyDescent="0.25">
      <c r="B74" s="44" t="str">
        <f t="shared" si="2"/>
        <v/>
      </c>
      <c r="C74" s="43"/>
      <c r="D74" s="43"/>
      <c r="E74" s="43"/>
      <c r="F74" s="43"/>
      <c r="G74" s="43"/>
      <c r="H74" s="43"/>
      <c r="I74" s="46"/>
      <c r="J74" s="46"/>
      <c r="K74" s="45" t="str">
        <f>IF(C74="","",IF(D74="","⚠ Phase manquante",IF(AND(E74&lt;&gt;"",LEFT(E74,LEN(LEFT(D74,FIND(" ·",D74&amp;" ·")-1))+1)&lt;&gt;LEFT(D74,FIND(" ·",D74&amp;" ·")-1)&amp;"."),"⚠ Sous-phase hors phase",IF(AND(I74&lt;&gt;"",IFERROR(OR(I74&lt;INDEX('08 Phases'!$F$9:$F$38,MATCH(D74,'08 Phases'!$B$9:$B$38,0)),I74&gt;INDEX('08 Phases'!$G$9:$G$38,MATCH(D74,'08 Phases'!$B$9:$B$38,0))),FALSE)),"◔ Date hors période de la phase","✓"))))</f>
        <v/>
      </c>
    </row>
    <row r="75" spans="2:11" ht="21" customHeight="1" x14ac:dyDescent="0.25">
      <c r="B75" s="44" t="str">
        <f t="shared" si="2"/>
        <v/>
      </c>
      <c r="C75" s="43"/>
      <c r="D75" s="43"/>
      <c r="E75" s="43"/>
      <c r="F75" s="43"/>
      <c r="G75" s="43"/>
      <c r="H75" s="43"/>
      <c r="I75" s="46"/>
      <c r="J75" s="46"/>
      <c r="K75" s="45" t="str">
        <f>IF(C75="","",IF(D75="","⚠ Phase manquante",IF(AND(E75&lt;&gt;"",LEFT(E75,LEN(LEFT(D75,FIND(" ·",D75&amp;" ·")-1))+1)&lt;&gt;LEFT(D75,FIND(" ·",D75&amp;" ·")-1)&amp;"."),"⚠ Sous-phase hors phase",IF(AND(I75&lt;&gt;"",IFERROR(OR(I75&lt;INDEX('08 Phases'!$F$9:$F$38,MATCH(D75,'08 Phases'!$B$9:$B$38,0)),I75&gt;INDEX('08 Phases'!$G$9:$G$38,MATCH(D75,'08 Phases'!$B$9:$B$38,0))),FALSE)),"◔ Date hors période de la phase","✓"))))</f>
        <v/>
      </c>
    </row>
    <row r="76" spans="2:11" ht="21" customHeight="1" x14ac:dyDescent="0.25">
      <c r="B76" s="44" t="str">
        <f t="shared" si="2"/>
        <v/>
      </c>
      <c r="C76" s="43"/>
      <c r="D76" s="43"/>
      <c r="E76" s="43"/>
      <c r="F76" s="43"/>
      <c r="G76" s="43"/>
      <c r="H76" s="43"/>
      <c r="I76" s="46"/>
      <c r="J76" s="46"/>
      <c r="K76" s="45" t="str">
        <f>IF(C76="","",IF(D76="","⚠ Phase manquante",IF(AND(E76&lt;&gt;"",LEFT(E76,LEN(LEFT(D76,FIND(" ·",D76&amp;" ·")-1))+1)&lt;&gt;LEFT(D76,FIND(" ·",D76&amp;" ·")-1)&amp;"."),"⚠ Sous-phase hors phase",IF(AND(I76&lt;&gt;"",IFERROR(OR(I76&lt;INDEX('08 Phases'!$F$9:$F$38,MATCH(D76,'08 Phases'!$B$9:$B$38,0)),I76&gt;INDEX('08 Phases'!$G$9:$G$38,MATCH(D76,'08 Phases'!$B$9:$B$38,0))),FALSE)),"◔ Date hors période de la phase","✓"))))</f>
        <v/>
      </c>
    </row>
    <row r="77" spans="2:11" ht="21" customHeight="1" x14ac:dyDescent="0.25">
      <c r="B77" s="44" t="str">
        <f t="shared" si="2"/>
        <v/>
      </c>
      <c r="C77" s="43"/>
      <c r="D77" s="43"/>
      <c r="E77" s="43"/>
      <c r="F77" s="43"/>
      <c r="G77" s="43"/>
      <c r="H77" s="43"/>
      <c r="I77" s="46"/>
      <c r="J77" s="46"/>
      <c r="K77" s="45" t="str">
        <f>IF(C77="","",IF(D77="","⚠ Phase manquante",IF(AND(E77&lt;&gt;"",LEFT(E77,LEN(LEFT(D77,FIND(" ·",D77&amp;" ·")-1))+1)&lt;&gt;LEFT(D77,FIND(" ·",D77&amp;" ·")-1)&amp;"."),"⚠ Sous-phase hors phase",IF(AND(I77&lt;&gt;"",IFERROR(OR(I77&lt;INDEX('08 Phases'!$F$9:$F$38,MATCH(D77,'08 Phases'!$B$9:$B$38,0)),I77&gt;INDEX('08 Phases'!$G$9:$G$38,MATCH(D77,'08 Phases'!$B$9:$B$38,0))),FALSE)),"◔ Date hors période de la phase","✓"))))</f>
        <v/>
      </c>
    </row>
    <row r="78" spans="2:11" ht="21" customHeight="1" x14ac:dyDescent="0.25">
      <c r="B78" s="44" t="str">
        <f t="shared" si="2"/>
        <v/>
      </c>
      <c r="C78" s="43"/>
      <c r="D78" s="43"/>
      <c r="E78" s="43"/>
      <c r="F78" s="43"/>
      <c r="G78" s="43"/>
      <c r="H78" s="43"/>
      <c r="I78" s="46"/>
      <c r="J78" s="46"/>
      <c r="K78" s="45" t="str">
        <f>IF(C78="","",IF(D78="","⚠ Phase manquante",IF(AND(E78&lt;&gt;"",LEFT(E78,LEN(LEFT(D78,FIND(" ·",D78&amp;" ·")-1))+1)&lt;&gt;LEFT(D78,FIND(" ·",D78&amp;" ·")-1)&amp;"."),"⚠ Sous-phase hors phase",IF(AND(I78&lt;&gt;"",IFERROR(OR(I78&lt;INDEX('08 Phases'!$F$9:$F$38,MATCH(D78,'08 Phases'!$B$9:$B$38,0)),I78&gt;INDEX('08 Phases'!$G$9:$G$38,MATCH(D78,'08 Phases'!$B$9:$B$38,0))),FALSE)),"◔ Date hors période de la phase","✓"))))</f>
        <v/>
      </c>
    </row>
    <row r="79" spans="2:11" ht="21" customHeight="1" x14ac:dyDescent="0.25">
      <c r="B79" s="44" t="str">
        <f t="shared" si="2"/>
        <v/>
      </c>
      <c r="C79" s="43"/>
      <c r="D79" s="43"/>
      <c r="E79" s="43"/>
      <c r="F79" s="43"/>
      <c r="G79" s="43"/>
      <c r="H79" s="43"/>
      <c r="I79" s="46"/>
      <c r="J79" s="46"/>
      <c r="K79" s="45" t="str">
        <f>IF(C79="","",IF(D79="","⚠ Phase manquante",IF(AND(E79&lt;&gt;"",LEFT(E79,LEN(LEFT(D79,FIND(" ·",D79&amp;" ·")-1))+1)&lt;&gt;LEFT(D79,FIND(" ·",D79&amp;" ·")-1)&amp;"."),"⚠ Sous-phase hors phase",IF(AND(I79&lt;&gt;"",IFERROR(OR(I79&lt;INDEX('08 Phases'!$F$9:$F$38,MATCH(D79,'08 Phases'!$B$9:$B$38,0)),I79&gt;INDEX('08 Phases'!$G$9:$G$38,MATCH(D79,'08 Phases'!$B$9:$B$38,0))),FALSE)),"◔ Date hors période de la phase","✓"))))</f>
        <v/>
      </c>
    </row>
    <row r="80" spans="2:11" ht="21" customHeight="1" x14ac:dyDescent="0.25">
      <c r="B80" s="44" t="str">
        <f t="shared" si="2"/>
        <v/>
      </c>
      <c r="C80" s="43"/>
      <c r="D80" s="43"/>
      <c r="E80" s="43"/>
      <c r="F80" s="43"/>
      <c r="G80" s="43"/>
      <c r="H80" s="43"/>
      <c r="I80" s="46"/>
      <c r="J80" s="46"/>
      <c r="K80" s="45" t="str">
        <f>IF(C80="","",IF(D80="","⚠ Phase manquante",IF(AND(E80&lt;&gt;"",LEFT(E80,LEN(LEFT(D80,FIND(" ·",D80&amp;" ·")-1))+1)&lt;&gt;LEFT(D80,FIND(" ·",D80&amp;" ·")-1)&amp;"."),"⚠ Sous-phase hors phase",IF(AND(I80&lt;&gt;"",IFERROR(OR(I80&lt;INDEX('08 Phases'!$F$9:$F$38,MATCH(D80,'08 Phases'!$B$9:$B$38,0)),I80&gt;INDEX('08 Phases'!$G$9:$G$38,MATCH(D80,'08 Phases'!$B$9:$B$38,0))),FALSE)),"◔ Date hors période de la phase","✓"))))</f>
        <v/>
      </c>
    </row>
    <row r="81" spans="2:11" ht="21" customHeight="1" x14ac:dyDescent="0.25">
      <c r="B81" s="44" t="str">
        <f t="shared" si="2"/>
        <v/>
      </c>
      <c r="C81" s="43"/>
      <c r="D81" s="43"/>
      <c r="E81" s="43"/>
      <c r="F81" s="43"/>
      <c r="G81" s="43"/>
      <c r="H81" s="43"/>
      <c r="I81" s="46"/>
      <c r="J81" s="46"/>
      <c r="K81" s="45" t="str">
        <f>IF(C81="","",IF(D81="","⚠ Phase manquante",IF(AND(E81&lt;&gt;"",LEFT(E81,LEN(LEFT(D81,FIND(" ·",D81&amp;" ·")-1))+1)&lt;&gt;LEFT(D81,FIND(" ·",D81&amp;" ·")-1)&amp;"."),"⚠ Sous-phase hors phase",IF(AND(I81&lt;&gt;"",IFERROR(OR(I81&lt;INDEX('08 Phases'!$F$9:$F$38,MATCH(D81,'08 Phases'!$B$9:$B$38,0)),I81&gt;INDEX('08 Phases'!$G$9:$G$38,MATCH(D81,'08 Phases'!$B$9:$B$38,0))),FALSE)),"◔ Date hors période de la phase","✓"))))</f>
        <v/>
      </c>
    </row>
    <row r="82" spans="2:11" ht="21" customHeight="1" x14ac:dyDescent="0.25">
      <c r="B82" s="44" t="str">
        <f t="shared" si="2"/>
        <v/>
      </c>
      <c r="C82" s="43"/>
      <c r="D82" s="43"/>
      <c r="E82" s="43"/>
      <c r="F82" s="43"/>
      <c r="G82" s="43"/>
      <c r="H82" s="43"/>
      <c r="I82" s="46"/>
      <c r="J82" s="46"/>
      <c r="K82" s="45" t="str">
        <f>IF(C82="","",IF(D82="","⚠ Phase manquante",IF(AND(E82&lt;&gt;"",LEFT(E82,LEN(LEFT(D82,FIND(" ·",D82&amp;" ·")-1))+1)&lt;&gt;LEFT(D82,FIND(" ·",D82&amp;" ·")-1)&amp;"."),"⚠ Sous-phase hors phase",IF(AND(I82&lt;&gt;"",IFERROR(OR(I82&lt;INDEX('08 Phases'!$F$9:$F$38,MATCH(D82,'08 Phases'!$B$9:$B$38,0)),I82&gt;INDEX('08 Phases'!$G$9:$G$38,MATCH(D82,'08 Phases'!$B$9:$B$38,0))),FALSE)),"◔ Date hors période de la phase","✓"))))</f>
        <v/>
      </c>
    </row>
    <row r="83" spans="2:11" ht="21" customHeight="1" x14ac:dyDescent="0.25">
      <c r="B83" s="44" t="str">
        <f t="shared" si="2"/>
        <v/>
      </c>
      <c r="C83" s="43"/>
      <c r="D83" s="43"/>
      <c r="E83" s="43"/>
      <c r="F83" s="43"/>
      <c r="G83" s="43"/>
      <c r="H83" s="43"/>
      <c r="I83" s="46"/>
      <c r="J83" s="46"/>
      <c r="K83" s="45" t="str">
        <f>IF(C83="","",IF(D83="","⚠ Phase manquante",IF(AND(E83&lt;&gt;"",LEFT(E83,LEN(LEFT(D83,FIND(" ·",D83&amp;" ·")-1))+1)&lt;&gt;LEFT(D83,FIND(" ·",D83&amp;" ·")-1)&amp;"."),"⚠ Sous-phase hors phase",IF(AND(I83&lt;&gt;"",IFERROR(OR(I83&lt;INDEX('08 Phases'!$F$9:$F$38,MATCH(D83,'08 Phases'!$B$9:$B$38,0)),I83&gt;INDEX('08 Phases'!$G$9:$G$38,MATCH(D83,'08 Phases'!$B$9:$B$38,0))),FALSE)),"◔ Date hors période de la phase","✓"))))</f>
        <v/>
      </c>
    </row>
    <row r="84" spans="2:11" ht="21" customHeight="1" x14ac:dyDescent="0.25">
      <c r="B84" s="44" t="str">
        <f t="shared" si="2"/>
        <v/>
      </c>
      <c r="C84" s="43"/>
      <c r="D84" s="43"/>
      <c r="E84" s="43"/>
      <c r="F84" s="43"/>
      <c r="G84" s="43"/>
      <c r="H84" s="43"/>
      <c r="I84" s="46"/>
      <c r="J84" s="46"/>
      <c r="K84" s="45" t="str">
        <f>IF(C84="","",IF(D84="","⚠ Phase manquante",IF(AND(E84&lt;&gt;"",LEFT(E84,LEN(LEFT(D84,FIND(" ·",D84&amp;" ·")-1))+1)&lt;&gt;LEFT(D84,FIND(" ·",D84&amp;" ·")-1)&amp;"."),"⚠ Sous-phase hors phase",IF(AND(I84&lt;&gt;"",IFERROR(OR(I84&lt;INDEX('08 Phases'!$F$9:$F$38,MATCH(D84,'08 Phases'!$B$9:$B$38,0)),I84&gt;INDEX('08 Phases'!$G$9:$G$38,MATCH(D84,'08 Phases'!$B$9:$B$38,0))),FALSE)),"◔ Date hors période de la phase","✓"))))</f>
        <v/>
      </c>
    </row>
    <row r="85" spans="2:11" ht="21" customHeight="1" x14ac:dyDescent="0.25">
      <c r="B85" s="44" t="str">
        <f t="shared" si="2"/>
        <v/>
      </c>
      <c r="C85" s="43"/>
      <c r="D85" s="43"/>
      <c r="E85" s="43"/>
      <c r="F85" s="43"/>
      <c r="G85" s="43"/>
      <c r="H85" s="43"/>
      <c r="I85" s="46"/>
      <c r="J85" s="46"/>
      <c r="K85" s="45" t="str">
        <f>IF(C85="","",IF(D85="","⚠ Phase manquante",IF(AND(E85&lt;&gt;"",LEFT(E85,LEN(LEFT(D85,FIND(" ·",D85&amp;" ·")-1))+1)&lt;&gt;LEFT(D85,FIND(" ·",D85&amp;" ·")-1)&amp;"."),"⚠ Sous-phase hors phase",IF(AND(I85&lt;&gt;"",IFERROR(OR(I85&lt;INDEX('08 Phases'!$F$9:$F$38,MATCH(D85,'08 Phases'!$B$9:$B$38,0)),I85&gt;INDEX('08 Phases'!$G$9:$G$38,MATCH(D85,'08 Phases'!$B$9:$B$38,0))),FALSE)),"◔ Date hors période de la phase","✓"))))</f>
        <v/>
      </c>
    </row>
    <row r="86" spans="2:11" ht="21" customHeight="1" x14ac:dyDescent="0.25">
      <c r="B86" s="44" t="str">
        <f t="shared" si="2"/>
        <v/>
      </c>
      <c r="C86" s="43"/>
      <c r="D86" s="43"/>
      <c r="E86" s="43"/>
      <c r="F86" s="43"/>
      <c r="G86" s="43"/>
      <c r="H86" s="43"/>
      <c r="I86" s="46"/>
      <c r="J86" s="46"/>
      <c r="K86" s="45" t="str">
        <f>IF(C86="","",IF(D86="","⚠ Phase manquante",IF(AND(E86&lt;&gt;"",LEFT(E86,LEN(LEFT(D86,FIND(" ·",D86&amp;" ·")-1))+1)&lt;&gt;LEFT(D86,FIND(" ·",D86&amp;" ·")-1)&amp;"."),"⚠ Sous-phase hors phase",IF(AND(I86&lt;&gt;"",IFERROR(OR(I86&lt;INDEX('08 Phases'!$F$9:$F$38,MATCH(D86,'08 Phases'!$B$9:$B$38,0)),I86&gt;INDEX('08 Phases'!$G$9:$G$38,MATCH(D86,'08 Phases'!$B$9:$B$38,0))),FALSE)),"◔ Date hors période de la phase","✓"))))</f>
        <v/>
      </c>
    </row>
    <row r="87" spans="2:11" ht="21" customHeight="1" x14ac:dyDescent="0.25">
      <c r="B87" s="44" t="str">
        <f t="shared" si="2"/>
        <v/>
      </c>
      <c r="C87" s="43"/>
      <c r="D87" s="43"/>
      <c r="E87" s="43"/>
      <c r="F87" s="43"/>
      <c r="G87" s="43"/>
      <c r="H87" s="43"/>
      <c r="I87" s="46"/>
      <c r="J87" s="46"/>
      <c r="K87" s="45" t="str">
        <f>IF(C87="","",IF(D87="","⚠ Phase manquante",IF(AND(E87&lt;&gt;"",LEFT(E87,LEN(LEFT(D87,FIND(" ·",D87&amp;" ·")-1))+1)&lt;&gt;LEFT(D87,FIND(" ·",D87&amp;" ·")-1)&amp;"."),"⚠ Sous-phase hors phase",IF(AND(I87&lt;&gt;"",IFERROR(OR(I87&lt;INDEX('08 Phases'!$F$9:$F$38,MATCH(D87,'08 Phases'!$B$9:$B$38,0)),I87&gt;INDEX('08 Phases'!$G$9:$G$38,MATCH(D87,'08 Phases'!$B$9:$B$38,0))),FALSE)),"◔ Date hors période de la phase","✓"))))</f>
        <v/>
      </c>
    </row>
    <row r="88" spans="2:11" ht="21" customHeight="1" x14ac:dyDescent="0.25">
      <c r="B88" s="44" t="str">
        <f t="shared" si="2"/>
        <v/>
      </c>
      <c r="C88" s="43"/>
      <c r="D88" s="43"/>
      <c r="E88" s="43"/>
      <c r="F88" s="43"/>
      <c r="G88" s="43"/>
      <c r="H88" s="43"/>
      <c r="I88" s="46"/>
      <c r="J88" s="46"/>
      <c r="K88" s="45" t="str">
        <f>IF(C88="","",IF(D88="","⚠ Phase manquante",IF(AND(E88&lt;&gt;"",LEFT(E88,LEN(LEFT(D88,FIND(" ·",D88&amp;" ·")-1))+1)&lt;&gt;LEFT(D88,FIND(" ·",D88&amp;" ·")-1)&amp;"."),"⚠ Sous-phase hors phase",IF(AND(I88&lt;&gt;"",IFERROR(OR(I88&lt;INDEX('08 Phases'!$F$9:$F$38,MATCH(D88,'08 Phases'!$B$9:$B$38,0)),I88&gt;INDEX('08 Phases'!$G$9:$G$38,MATCH(D88,'08 Phases'!$B$9:$B$38,0))),FALSE)),"◔ Date hors période de la phase","✓"))))</f>
        <v/>
      </c>
    </row>
    <row r="89" spans="2:11" ht="21" customHeight="1" x14ac:dyDescent="0.25">
      <c r="B89" s="44" t="str">
        <f t="shared" si="2"/>
        <v/>
      </c>
      <c r="C89" s="43"/>
      <c r="D89" s="43"/>
      <c r="E89" s="43"/>
      <c r="F89" s="43"/>
      <c r="G89" s="43"/>
      <c r="H89" s="43"/>
      <c r="I89" s="46"/>
      <c r="J89" s="46"/>
      <c r="K89" s="45" t="str">
        <f>IF(C89="","",IF(D89="","⚠ Phase manquante",IF(AND(E89&lt;&gt;"",LEFT(E89,LEN(LEFT(D89,FIND(" ·",D89&amp;" ·")-1))+1)&lt;&gt;LEFT(D89,FIND(" ·",D89&amp;" ·")-1)&amp;"."),"⚠ Sous-phase hors phase",IF(AND(I89&lt;&gt;"",IFERROR(OR(I89&lt;INDEX('08 Phases'!$F$9:$F$38,MATCH(D89,'08 Phases'!$B$9:$B$38,0)),I89&gt;INDEX('08 Phases'!$G$9:$G$38,MATCH(D89,'08 Phases'!$B$9:$B$38,0))),FALSE)),"◔ Date hors période de la phase","✓"))))</f>
        <v/>
      </c>
    </row>
    <row r="90" spans="2:11" ht="21" customHeight="1" x14ac:dyDescent="0.25">
      <c r="B90" s="44" t="str">
        <f t="shared" si="2"/>
        <v/>
      </c>
      <c r="C90" s="43"/>
      <c r="D90" s="43"/>
      <c r="E90" s="43"/>
      <c r="F90" s="43"/>
      <c r="G90" s="43"/>
      <c r="H90" s="43"/>
      <c r="I90" s="46"/>
      <c r="J90" s="46"/>
      <c r="K90" s="45" t="str">
        <f>IF(C90="","",IF(D90="","⚠ Phase manquante",IF(AND(E90&lt;&gt;"",LEFT(E90,LEN(LEFT(D90,FIND(" ·",D90&amp;" ·")-1))+1)&lt;&gt;LEFT(D90,FIND(" ·",D90&amp;" ·")-1)&amp;"."),"⚠ Sous-phase hors phase",IF(AND(I90&lt;&gt;"",IFERROR(OR(I90&lt;INDEX('08 Phases'!$F$9:$F$38,MATCH(D90,'08 Phases'!$B$9:$B$38,0)),I90&gt;INDEX('08 Phases'!$G$9:$G$38,MATCH(D90,'08 Phases'!$B$9:$B$38,0))),FALSE)),"◔ Date hors période de la phase","✓"))))</f>
        <v/>
      </c>
    </row>
    <row r="91" spans="2:11" ht="21" customHeight="1" x14ac:dyDescent="0.25">
      <c r="B91" s="44" t="str">
        <f t="shared" si="2"/>
        <v/>
      </c>
      <c r="C91" s="43"/>
      <c r="D91" s="43"/>
      <c r="E91" s="43"/>
      <c r="F91" s="43"/>
      <c r="G91" s="43"/>
      <c r="H91" s="43"/>
      <c r="I91" s="46"/>
      <c r="J91" s="46"/>
      <c r="K91" s="45" t="str">
        <f>IF(C91="","",IF(D91="","⚠ Phase manquante",IF(AND(E91&lt;&gt;"",LEFT(E91,LEN(LEFT(D91,FIND(" ·",D91&amp;" ·")-1))+1)&lt;&gt;LEFT(D91,FIND(" ·",D91&amp;" ·")-1)&amp;"."),"⚠ Sous-phase hors phase",IF(AND(I91&lt;&gt;"",IFERROR(OR(I91&lt;INDEX('08 Phases'!$F$9:$F$38,MATCH(D91,'08 Phases'!$B$9:$B$38,0)),I91&gt;INDEX('08 Phases'!$G$9:$G$38,MATCH(D91,'08 Phases'!$B$9:$B$38,0))),FALSE)),"◔ Date hors période de la phase","✓"))))</f>
        <v/>
      </c>
    </row>
    <row r="92" spans="2:11" ht="21" customHeight="1" x14ac:dyDescent="0.25">
      <c r="B92" s="44" t="str">
        <f t="shared" si="2"/>
        <v/>
      </c>
      <c r="C92" s="43"/>
      <c r="D92" s="43"/>
      <c r="E92" s="43"/>
      <c r="F92" s="43"/>
      <c r="G92" s="43"/>
      <c r="H92" s="43"/>
      <c r="I92" s="46"/>
      <c r="J92" s="46"/>
      <c r="K92" s="45" t="str">
        <f>IF(C92="","",IF(D92="","⚠ Phase manquante",IF(AND(E92&lt;&gt;"",LEFT(E92,LEN(LEFT(D92,FIND(" ·",D92&amp;" ·")-1))+1)&lt;&gt;LEFT(D92,FIND(" ·",D92&amp;" ·")-1)&amp;"."),"⚠ Sous-phase hors phase",IF(AND(I92&lt;&gt;"",IFERROR(OR(I92&lt;INDEX('08 Phases'!$F$9:$F$38,MATCH(D92,'08 Phases'!$B$9:$B$38,0)),I92&gt;INDEX('08 Phases'!$G$9:$G$38,MATCH(D92,'08 Phases'!$B$9:$B$38,0))),FALSE)),"◔ Date hors période de la phase","✓"))))</f>
        <v/>
      </c>
    </row>
    <row r="93" spans="2:11" ht="21" customHeight="1" x14ac:dyDescent="0.25">
      <c r="B93" s="44" t="str">
        <f t="shared" si="2"/>
        <v/>
      </c>
      <c r="C93" s="43"/>
      <c r="D93" s="43"/>
      <c r="E93" s="43"/>
      <c r="F93" s="43"/>
      <c r="G93" s="43"/>
      <c r="H93" s="43"/>
      <c r="I93" s="46"/>
      <c r="J93" s="46"/>
      <c r="K93" s="45" t="str">
        <f>IF(C93="","",IF(D93="","⚠ Phase manquante",IF(AND(E93&lt;&gt;"",LEFT(E93,LEN(LEFT(D93,FIND(" ·",D93&amp;" ·")-1))+1)&lt;&gt;LEFT(D93,FIND(" ·",D93&amp;" ·")-1)&amp;"."),"⚠ Sous-phase hors phase",IF(AND(I93&lt;&gt;"",IFERROR(OR(I93&lt;INDEX('08 Phases'!$F$9:$F$38,MATCH(D93,'08 Phases'!$B$9:$B$38,0)),I93&gt;INDEX('08 Phases'!$G$9:$G$38,MATCH(D93,'08 Phases'!$B$9:$B$38,0))),FALSE)),"◔ Date hors période de la phase","✓"))))</f>
        <v/>
      </c>
    </row>
    <row r="94" spans="2:11" ht="21" customHeight="1" x14ac:dyDescent="0.25">
      <c r="B94" s="44" t="str">
        <f t="shared" si="2"/>
        <v/>
      </c>
      <c r="C94" s="43"/>
      <c r="D94" s="43"/>
      <c r="E94" s="43"/>
      <c r="F94" s="43"/>
      <c r="G94" s="43"/>
      <c r="H94" s="43"/>
      <c r="I94" s="46"/>
      <c r="J94" s="46"/>
      <c r="K94" s="45" t="str">
        <f>IF(C94="","",IF(D94="","⚠ Phase manquante",IF(AND(E94&lt;&gt;"",LEFT(E94,LEN(LEFT(D94,FIND(" ·",D94&amp;" ·")-1))+1)&lt;&gt;LEFT(D94,FIND(" ·",D94&amp;" ·")-1)&amp;"."),"⚠ Sous-phase hors phase",IF(AND(I94&lt;&gt;"",IFERROR(OR(I94&lt;INDEX('08 Phases'!$F$9:$F$38,MATCH(D94,'08 Phases'!$B$9:$B$38,0)),I94&gt;INDEX('08 Phases'!$G$9:$G$38,MATCH(D94,'08 Phases'!$B$9:$B$38,0))),FALSE)),"◔ Date hors période de la phase","✓"))))</f>
        <v/>
      </c>
    </row>
    <row r="95" spans="2:11" ht="21" customHeight="1" x14ac:dyDescent="0.25">
      <c r="B95" s="44" t="str">
        <f t="shared" si="2"/>
        <v/>
      </c>
      <c r="C95" s="43"/>
      <c r="D95" s="43"/>
      <c r="E95" s="43"/>
      <c r="F95" s="43"/>
      <c r="G95" s="43"/>
      <c r="H95" s="43"/>
      <c r="I95" s="46"/>
      <c r="J95" s="46"/>
      <c r="K95" s="45" t="str">
        <f>IF(C95="","",IF(D95="","⚠ Phase manquante",IF(AND(E95&lt;&gt;"",LEFT(E95,LEN(LEFT(D95,FIND(" ·",D95&amp;" ·")-1))+1)&lt;&gt;LEFT(D95,FIND(" ·",D95&amp;" ·")-1)&amp;"."),"⚠ Sous-phase hors phase",IF(AND(I95&lt;&gt;"",IFERROR(OR(I95&lt;INDEX('08 Phases'!$F$9:$F$38,MATCH(D95,'08 Phases'!$B$9:$B$38,0)),I95&gt;INDEX('08 Phases'!$G$9:$G$38,MATCH(D95,'08 Phases'!$B$9:$B$38,0))),FALSE)),"◔ Date hors période de la phase","✓"))))</f>
        <v/>
      </c>
    </row>
    <row r="96" spans="2:11" ht="21" customHeight="1" x14ac:dyDescent="0.25">
      <c r="B96" s="44" t="str">
        <f t="shared" si="2"/>
        <v/>
      </c>
      <c r="C96" s="43"/>
      <c r="D96" s="43"/>
      <c r="E96" s="43"/>
      <c r="F96" s="43"/>
      <c r="G96" s="43"/>
      <c r="H96" s="43"/>
      <c r="I96" s="46"/>
      <c r="J96" s="46"/>
      <c r="K96" s="45" t="str">
        <f>IF(C96="","",IF(D96="","⚠ Phase manquante",IF(AND(E96&lt;&gt;"",LEFT(E96,LEN(LEFT(D96,FIND(" ·",D96&amp;" ·")-1))+1)&lt;&gt;LEFT(D96,FIND(" ·",D96&amp;" ·")-1)&amp;"."),"⚠ Sous-phase hors phase",IF(AND(I96&lt;&gt;"",IFERROR(OR(I96&lt;INDEX('08 Phases'!$F$9:$F$38,MATCH(D96,'08 Phases'!$B$9:$B$38,0)),I96&gt;INDEX('08 Phases'!$G$9:$G$38,MATCH(D96,'08 Phases'!$B$9:$B$38,0))),FALSE)),"◔ Date hors période de la phase","✓"))))</f>
        <v/>
      </c>
    </row>
    <row r="97" spans="2:11" ht="21" customHeight="1" x14ac:dyDescent="0.25">
      <c r="B97" s="44" t="str">
        <f t="shared" si="2"/>
        <v/>
      </c>
      <c r="C97" s="43"/>
      <c r="D97" s="43"/>
      <c r="E97" s="43"/>
      <c r="F97" s="43"/>
      <c r="G97" s="43"/>
      <c r="H97" s="43"/>
      <c r="I97" s="46"/>
      <c r="J97" s="46"/>
      <c r="K97" s="45" t="str">
        <f>IF(C97="","",IF(D97="","⚠ Phase manquante",IF(AND(E97&lt;&gt;"",LEFT(E97,LEN(LEFT(D97,FIND(" ·",D97&amp;" ·")-1))+1)&lt;&gt;LEFT(D97,FIND(" ·",D97&amp;" ·")-1)&amp;"."),"⚠ Sous-phase hors phase",IF(AND(I97&lt;&gt;"",IFERROR(OR(I97&lt;INDEX('08 Phases'!$F$9:$F$38,MATCH(D97,'08 Phases'!$B$9:$B$38,0)),I97&gt;INDEX('08 Phases'!$G$9:$G$38,MATCH(D97,'08 Phases'!$B$9:$B$38,0))),FALSE)),"◔ Date hors période de la phase","✓"))))</f>
        <v/>
      </c>
    </row>
    <row r="98" spans="2:11" ht="21" customHeight="1" x14ac:dyDescent="0.25">
      <c r="B98" s="44" t="str">
        <f t="shared" si="2"/>
        <v/>
      </c>
      <c r="C98" s="43"/>
      <c r="D98" s="43"/>
      <c r="E98" s="43"/>
      <c r="F98" s="43"/>
      <c r="G98" s="43"/>
      <c r="H98" s="43"/>
      <c r="I98" s="46"/>
      <c r="J98" s="46"/>
      <c r="K98" s="45" t="str">
        <f>IF(C98="","",IF(D98="","⚠ Phase manquante",IF(AND(E98&lt;&gt;"",LEFT(E98,LEN(LEFT(D98,FIND(" ·",D98&amp;" ·")-1))+1)&lt;&gt;LEFT(D98,FIND(" ·",D98&amp;" ·")-1)&amp;"."),"⚠ Sous-phase hors phase",IF(AND(I98&lt;&gt;"",IFERROR(OR(I98&lt;INDEX('08 Phases'!$F$9:$F$38,MATCH(D98,'08 Phases'!$B$9:$B$38,0)),I98&gt;INDEX('08 Phases'!$G$9:$G$38,MATCH(D98,'08 Phases'!$B$9:$B$38,0))),FALSE)),"◔ Date hors période de la phase","✓"))))</f>
        <v/>
      </c>
    </row>
    <row r="99" spans="2:11" ht="21" customHeight="1" x14ac:dyDescent="0.25">
      <c r="B99" s="44" t="str">
        <f t="shared" si="2"/>
        <v/>
      </c>
      <c r="C99" s="43"/>
      <c r="D99" s="43"/>
      <c r="E99" s="43"/>
      <c r="F99" s="43"/>
      <c r="G99" s="43"/>
      <c r="H99" s="43"/>
      <c r="I99" s="46"/>
      <c r="J99" s="46"/>
      <c r="K99" s="45" t="str">
        <f>IF(C99="","",IF(D99="","⚠ Phase manquante",IF(AND(E99&lt;&gt;"",LEFT(E99,LEN(LEFT(D99,FIND(" ·",D99&amp;" ·")-1))+1)&lt;&gt;LEFT(D99,FIND(" ·",D99&amp;" ·")-1)&amp;"."),"⚠ Sous-phase hors phase",IF(AND(I99&lt;&gt;"",IFERROR(OR(I99&lt;INDEX('08 Phases'!$F$9:$F$38,MATCH(D99,'08 Phases'!$B$9:$B$38,0)),I99&gt;INDEX('08 Phases'!$G$9:$G$38,MATCH(D99,'08 Phases'!$B$9:$B$38,0))),FALSE)),"◔ Date hors période de la phase","✓"))))</f>
        <v/>
      </c>
    </row>
    <row r="100" spans="2:11" ht="21" customHeight="1" x14ac:dyDescent="0.25">
      <c r="B100" s="44" t="str">
        <f t="shared" si="2"/>
        <v/>
      </c>
      <c r="C100" s="43"/>
      <c r="D100" s="43"/>
      <c r="E100" s="43"/>
      <c r="F100" s="43"/>
      <c r="G100" s="43"/>
      <c r="H100" s="43"/>
      <c r="I100" s="46"/>
      <c r="J100" s="46"/>
      <c r="K100" s="45" t="str">
        <f>IF(C100="","",IF(D100="","⚠ Phase manquante",IF(AND(E100&lt;&gt;"",LEFT(E100,LEN(LEFT(D100,FIND(" ·",D100&amp;" ·")-1))+1)&lt;&gt;LEFT(D100,FIND(" ·",D100&amp;" ·")-1)&amp;"."),"⚠ Sous-phase hors phase",IF(AND(I100&lt;&gt;"",IFERROR(OR(I100&lt;INDEX('08 Phases'!$F$9:$F$38,MATCH(D100,'08 Phases'!$B$9:$B$38,0)),I100&gt;INDEX('08 Phases'!$G$9:$G$38,MATCH(D100,'08 Phases'!$B$9:$B$38,0))),FALSE)),"◔ Date hors période de la phase","✓"))))</f>
        <v/>
      </c>
    </row>
    <row r="101" spans="2:11" ht="21" customHeight="1" x14ac:dyDescent="0.25">
      <c r="B101" s="44" t="str">
        <f t="shared" si="2"/>
        <v/>
      </c>
      <c r="C101" s="43"/>
      <c r="D101" s="43"/>
      <c r="E101" s="43"/>
      <c r="F101" s="43"/>
      <c r="G101" s="43"/>
      <c r="H101" s="43"/>
      <c r="I101" s="46"/>
      <c r="J101" s="46"/>
      <c r="K101" s="45" t="str">
        <f>IF(C101="","",IF(D101="","⚠ Phase manquante",IF(AND(E101&lt;&gt;"",LEFT(E101,LEN(LEFT(D101,FIND(" ·",D101&amp;" ·")-1))+1)&lt;&gt;LEFT(D101,FIND(" ·",D101&amp;" ·")-1)&amp;"."),"⚠ Sous-phase hors phase",IF(AND(I101&lt;&gt;"",IFERROR(OR(I101&lt;INDEX('08 Phases'!$F$9:$F$38,MATCH(D101,'08 Phases'!$B$9:$B$38,0)),I101&gt;INDEX('08 Phases'!$G$9:$G$38,MATCH(D101,'08 Phases'!$B$9:$B$38,0))),FALSE)),"◔ Date hors période de la phase","✓"))))</f>
        <v/>
      </c>
    </row>
    <row r="102" spans="2:11" ht="21" customHeight="1" x14ac:dyDescent="0.25">
      <c r="B102" s="44" t="str">
        <f t="shared" si="2"/>
        <v/>
      </c>
      <c r="C102" s="43"/>
      <c r="D102" s="43"/>
      <c r="E102" s="43"/>
      <c r="F102" s="43"/>
      <c r="G102" s="43"/>
      <c r="H102" s="43"/>
      <c r="I102" s="46"/>
      <c r="J102" s="46"/>
      <c r="K102" s="45" t="str">
        <f>IF(C102="","",IF(D102="","⚠ Phase manquante",IF(AND(E102&lt;&gt;"",LEFT(E102,LEN(LEFT(D102,FIND(" ·",D102&amp;" ·")-1))+1)&lt;&gt;LEFT(D102,FIND(" ·",D102&amp;" ·")-1)&amp;"."),"⚠ Sous-phase hors phase",IF(AND(I102&lt;&gt;"",IFERROR(OR(I102&lt;INDEX('08 Phases'!$F$9:$F$38,MATCH(D102,'08 Phases'!$B$9:$B$38,0)),I102&gt;INDEX('08 Phases'!$G$9:$G$38,MATCH(D102,'08 Phases'!$B$9:$B$38,0))),FALSE)),"◔ Date hors période de la phase","✓"))))</f>
        <v/>
      </c>
    </row>
    <row r="103" spans="2:11" ht="21" customHeight="1" x14ac:dyDescent="0.25">
      <c r="B103" s="44" t="str">
        <f t="shared" si="2"/>
        <v/>
      </c>
      <c r="C103" s="43"/>
      <c r="D103" s="43"/>
      <c r="E103" s="43"/>
      <c r="F103" s="43"/>
      <c r="G103" s="43"/>
      <c r="H103" s="43"/>
      <c r="I103" s="46"/>
      <c r="J103" s="46"/>
      <c r="K103" s="45" t="str">
        <f>IF(C103="","",IF(D103="","⚠ Phase manquante",IF(AND(E103&lt;&gt;"",LEFT(E103,LEN(LEFT(D103,FIND(" ·",D103&amp;" ·")-1))+1)&lt;&gt;LEFT(D103,FIND(" ·",D103&amp;" ·")-1)&amp;"."),"⚠ Sous-phase hors phase",IF(AND(I103&lt;&gt;"",IFERROR(OR(I103&lt;INDEX('08 Phases'!$F$9:$F$38,MATCH(D103,'08 Phases'!$B$9:$B$38,0)),I103&gt;INDEX('08 Phases'!$G$9:$G$38,MATCH(D103,'08 Phases'!$B$9:$B$38,0))),FALSE)),"◔ Date hors période de la phase","✓"))))</f>
        <v/>
      </c>
    </row>
    <row r="104" spans="2:11" ht="21" customHeight="1" x14ac:dyDescent="0.25">
      <c r="B104" s="44" t="str">
        <f t="shared" si="2"/>
        <v/>
      </c>
      <c r="C104" s="43"/>
      <c r="D104" s="43"/>
      <c r="E104" s="43"/>
      <c r="F104" s="43"/>
      <c r="G104" s="43"/>
      <c r="H104" s="43"/>
      <c r="I104" s="46"/>
      <c r="J104" s="46"/>
      <c r="K104" s="45" t="str">
        <f>IF(C104="","",IF(D104="","⚠ Phase manquante",IF(AND(E104&lt;&gt;"",LEFT(E104,LEN(LEFT(D104,FIND(" ·",D104&amp;" ·")-1))+1)&lt;&gt;LEFT(D104,FIND(" ·",D104&amp;" ·")-1)&amp;"."),"⚠ Sous-phase hors phase",IF(AND(I104&lt;&gt;"",IFERROR(OR(I104&lt;INDEX('08 Phases'!$F$9:$F$38,MATCH(D104,'08 Phases'!$B$9:$B$38,0)),I104&gt;INDEX('08 Phases'!$G$9:$G$38,MATCH(D104,'08 Phases'!$B$9:$B$38,0))),FALSE)),"◔ Date hors période de la phase","✓"))))</f>
        <v/>
      </c>
    </row>
    <row r="105" spans="2:11" ht="21" customHeight="1" x14ac:dyDescent="0.25">
      <c r="B105" s="44" t="str">
        <f t="shared" ref="B105:B136" si="3">IF(C105="","","J"&amp;TEXT(ROW()-8,"00"))</f>
        <v/>
      </c>
      <c r="C105" s="43"/>
      <c r="D105" s="43"/>
      <c r="E105" s="43"/>
      <c r="F105" s="43"/>
      <c r="G105" s="43"/>
      <c r="H105" s="43"/>
      <c r="I105" s="46"/>
      <c r="J105" s="46"/>
      <c r="K105" s="45" t="str">
        <f>IF(C105="","",IF(D105="","⚠ Phase manquante",IF(AND(E105&lt;&gt;"",LEFT(E105,LEN(LEFT(D105,FIND(" ·",D105&amp;" ·")-1))+1)&lt;&gt;LEFT(D105,FIND(" ·",D105&amp;" ·")-1)&amp;"."),"⚠ Sous-phase hors phase",IF(AND(I105&lt;&gt;"",IFERROR(OR(I105&lt;INDEX('08 Phases'!$F$9:$F$38,MATCH(D105,'08 Phases'!$B$9:$B$38,0)),I105&gt;INDEX('08 Phases'!$G$9:$G$38,MATCH(D105,'08 Phases'!$B$9:$B$38,0))),FALSE)),"◔ Date hors période de la phase","✓"))))</f>
        <v/>
      </c>
    </row>
    <row r="106" spans="2:11" ht="21" customHeight="1" x14ac:dyDescent="0.25">
      <c r="B106" s="44" t="str">
        <f t="shared" si="3"/>
        <v/>
      </c>
      <c r="C106" s="43"/>
      <c r="D106" s="43"/>
      <c r="E106" s="43"/>
      <c r="F106" s="43"/>
      <c r="G106" s="43"/>
      <c r="H106" s="43"/>
      <c r="I106" s="46"/>
      <c r="J106" s="46"/>
      <c r="K106" s="45" t="str">
        <f>IF(C106="","",IF(D106="","⚠ Phase manquante",IF(AND(E106&lt;&gt;"",LEFT(E106,LEN(LEFT(D106,FIND(" ·",D106&amp;" ·")-1))+1)&lt;&gt;LEFT(D106,FIND(" ·",D106&amp;" ·")-1)&amp;"."),"⚠ Sous-phase hors phase",IF(AND(I106&lt;&gt;"",IFERROR(OR(I106&lt;INDEX('08 Phases'!$F$9:$F$38,MATCH(D106,'08 Phases'!$B$9:$B$38,0)),I106&gt;INDEX('08 Phases'!$G$9:$G$38,MATCH(D106,'08 Phases'!$B$9:$B$38,0))),FALSE)),"◔ Date hors période de la phase","✓"))))</f>
        <v/>
      </c>
    </row>
    <row r="107" spans="2:11" ht="21" customHeight="1" x14ac:dyDescent="0.25">
      <c r="B107" s="44" t="str">
        <f t="shared" si="3"/>
        <v/>
      </c>
      <c r="C107" s="43"/>
      <c r="D107" s="43"/>
      <c r="E107" s="43"/>
      <c r="F107" s="43"/>
      <c r="G107" s="43"/>
      <c r="H107" s="43"/>
      <c r="I107" s="46"/>
      <c r="J107" s="46"/>
      <c r="K107" s="45" t="str">
        <f>IF(C107="","",IF(D107="","⚠ Phase manquante",IF(AND(E107&lt;&gt;"",LEFT(E107,LEN(LEFT(D107,FIND(" ·",D107&amp;" ·")-1))+1)&lt;&gt;LEFT(D107,FIND(" ·",D107&amp;" ·")-1)&amp;"."),"⚠ Sous-phase hors phase",IF(AND(I107&lt;&gt;"",IFERROR(OR(I107&lt;INDEX('08 Phases'!$F$9:$F$38,MATCH(D107,'08 Phases'!$B$9:$B$38,0)),I107&gt;INDEX('08 Phases'!$G$9:$G$38,MATCH(D107,'08 Phases'!$B$9:$B$38,0))),FALSE)),"◔ Date hors période de la phase","✓"))))</f>
        <v/>
      </c>
    </row>
    <row r="108" spans="2:11" ht="21" customHeight="1" x14ac:dyDescent="0.25">
      <c r="B108" s="44" t="str">
        <f t="shared" si="3"/>
        <v/>
      </c>
      <c r="C108" s="43"/>
      <c r="D108" s="43"/>
      <c r="E108" s="43"/>
      <c r="F108" s="43"/>
      <c r="G108" s="43"/>
      <c r="H108" s="43"/>
      <c r="I108" s="46"/>
      <c r="J108" s="46"/>
      <c r="K108" s="45" t="str">
        <f>IF(C108="","",IF(D108="","⚠ Phase manquante",IF(AND(E108&lt;&gt;"",LEFT(E108,LEN(LEFT(D108,FIND(" ·",D108&amp;" ·")-1))+1)&lt;&gt;LEFT(D108,FIND(" ·",D108&amp;" ·")-1)&amp;"."),"⚠ Sous-phase hors phase",IF(AND(I108&lt;&gt;"",IFERROR(OR(I108&lt;INDEX('08 Phases'!$F$9:$F$38,MATCH(D108,'08 Phases'!$B$9:$B$38,0)),I108&gt;INDEX('08 Phases'!$G$9:$G$38,MATCH(D108,'08 Phases'!$B$9:$B$38,0))),FALSE)),"◔ Date hors période de la phase","✓"))))</f>
        <v/>
      </c>
    </row>
  </sheetData>
  <sheetProtection sheet="1" formatColumns="0" formatRows="0" sort="0" autoFilter="0"/>
  <autoFilter ref="B8:K8" xr:uid="{00000000-0009-0000-0000-00000F000000}"/>
  <conditionalFormatting sqref="C9:D108">
    <cfRule type="expression" dxfId="9" priority="1">
      <formula>AND(OR($C9&lt;&gt;"",$D9&lt;&gt;"",$E9&lt;&gt;"",$F9&lt;&gt;"",$G9&lt;&gt;"",$H9&lt;&gt;"",$I9&lt;&gt;"",$J9&lt;&gt;""),C9="")</formula>
    </cfRule>
  </conditionalFormatting>
  <conditionalFormatting sqref="I9:I108">
    <cfRule type="expression" dxfId="8" priority="3">
      <formula>AND(OR($C9&lt;&gt;"",$D9&lt;&gt;"",$E9&lt;&gt;"",$F9&lt;&gt;"",$G9&lt;&gt;"",$H9&lt;&gt;"",$I9&lt;&gt;"",$J9&lt;&gt;""),I9="")</formula>
    </cfRule>
  </conditionalFormatting>
  <dataValidations count="6">
    <dataValidation type="list" allowBlank="1" showErrorMessage="1" errorTitle="Valeur hors liste" error="Choisissez une valeur dans la liste. Elle se remplit à partir de l’onglet correspondant." sqref="D9:D108" xr:uid="{00000000-0002-0000-0F00-000000000000}">
      <formula1>L_Phases</formula1>
    </dataValidation>
    <dataValidation type="list" allowBlank="1" showErrorMessage="1" errorTitle="Valeur hors liste" error="Choisissez une valeur dans la liste. Elle se remplit à partir de l’onglet correspondant." sqref="E10:E108" xr:uid="{00000000-0002-0000-0F00-000002000000}">
      <formula1>L_SousPhases</formula1>
    </dataValidation>
    <dataValidation type="list" allowBlank="1" showErrorMessage="1" errorTitle="Valeur hors liste" error="Choisissez une valeur dans la liste. Elle se remplit à partir de l’onglet correspondant." sqref="F9:F108" xr:uid="{00000000-0002-0000-0F00-000004000000}">
      <formula1>L_Chantiers</formula1>
    </dataValidation>
    <dataValidation type="list" allowBlank="1" showErrorMessage="1" errorTitle="Valeur hors liste" error="Choisissez une valeur dans la liste. Elle se remplit à partir de l’onglet correspondant." sqref="G9:G108" xr:uid="{00000000-0002-0000-0F00-000006000000}">
      <formula1>L_Lots</formula1>
    </dataValidation>
    <dataValidation type="list" allowBlank="1" showErrorMessage="1" errorTitle="Valeur hors liste" error="Choisissez une valeur dans la liste. Elle se remplit à partir de l’onglet correspondant." sqref="H9:H108" xr:uid="{00000000-0002-0000-0F00-000008000000}">
      <formula1>L_Personnes</formula1>
    </dataValidation>
    <dataValidation type="date" operator="greaterThan" allowBlank="1" showErrorMessage="1" errorTitle="Date attendue" error="Saisissez une date au format JJ/MM/AAAA." sqref="I9:J108" xr:uid="{00000000-0002-0000-0F00-00000A000000}">
      <formula1>36526</formula1>
    </dataValidation>
  </dataValidations>
  <hyperlinks>
    <hyperlink ref="K3" location="#'Complétude'!A1" display="↩  Complétude" xr:uid="{00000000-0004-0000-0F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000000-000E-0000-0F00-000004000000}">
            <xm:f>NOT(ISERROR(SEARCH("⚠",K9)))</xm:f>
            <x14:dxf>
              <font>
                <b/>
                <color rgb="FFC2473B"/>
              </font>
            </x14:dxf>
          </x14:cfRule>
          <x14:cfRule type="containsText" priority="4" operator="containsText" id="{00000000-000E-0000-0F00-000004000000}">
            <xm:f>NOT(ISERROR(SEARCH("◔",K9)))</xm:f>
            <x14:dxf>
              <font>
                <b/>
                <color rgb="FFB26A12"/>
              </font>
            </x14:dxf>
          </x14:cfRule>
          <xm:sqref>K9:K108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eur hors liste" error="Choisissez une sous-phase de la phase de la colonne Phase (onglet 08 Sous-phases)." xr:uid="{00000000-0002-0000-0F00-000003000000}">
          <x14:formula1>
            <xm:f>IF($D9="",L_SousPhases,OFFSET('09 Sous-phases'!$B$9,IFERROR(MATCH(LEFT($D9,FIND(" ·",$D9&amp;" ·")-1)&amp;".*",'09 Sous-phases'!$B$9:$B$88,0)-1,0),0,MAX(1,COUNTIF('09 Sous-phases'!$B$9:$B$88,LEFT($D9,FIND(" ·",$D9&amp;" ·")-1)&amp;".*"))))</xm:f>
          </x14:formula1>
          <xm:sqref>E9:E108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39A2D"/>
    <pageSetUpPr fitToPage="1"/>
  </sheetPr>
  <dimension ref="B1:H158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8" customWidth="1"/>
    <col min="3" max="3" width="30" customWidth="1"/>
    <col min="4" max="5" width="22" customWidth="1"/>
    <col min="6" max="7" width="13" customWidth="1"/>
    <col min="8" max="8" width="24" customWidth="1"/>
  </cols>
  <sheetData>
    <row r="1" spans="2:8" ht="12" customHeight="1" x14ac:dyDescent="0.25"/>
    <row r="2" spans="2:8" ht="33.950000000000003" customHeight="1" x14ac:dyDescent="0.45">
      <c r="B2" s="1" t="s">
        <v>70</v>
      </c>
      <c r="H2" s="35">
        <f>Complétude!$I34</f>
        <v>0</v>
      </c>
    </row>
    <row r="3" spans="2:8" ht="18" customHeight="1" x14ac:dyDescent="0.25">
      <c r="B3" s="2" t="s">
        <v>283</v>
      </c>
      <c r="H3" s="36" t="s">
        <v>195</v>
      </c>
    </row>
    <row r="4" spans="2:8" ht="18" customHeight="1" x14ac:dyDescent="0.25">
      <c r="B4" t="s">
        <v>284</v>
      </c>
    </row>
    <row r="5" spans="2:8" ht="15.95" customHeight="1" x14ac:dyDescent="0.25">
      <c r="B5" s="37" t="s">
        <v>285</v>
      </c>
    </row>
    <row r="6" spans="2:8" ht="9.9499999999999993" customHeight="1" x14ac:dyDescent="0.25"/>
    <row r="7" spans="2:8" ht="15" customHeight="1" x14ac:dyDescent="0.25">
      <c r="B7" s="38" t="s">
        <v>198</v>
      </c>
      <c r="C7" s="38" t="s">
        <v>212</v>
      </c>
      <c r="D7" s="39" t="s">
        <v>213</v>
      </c>
      <c r="E7" s="38" t="s">
        <v>212</v>
      </c>
      <c r="F7" s="39" t="s">
        <v>199</v>
      </c>
      <c r="G7" s="38" t="s">
        <v>198</v>
      </c>
      <c r="H7" s="40" t="s">
        <v>201</v>
      </c>
    </row>
    <row r="8" spans="2:8" ht="26.1" customHeight="1" x14ac:dyDescent="0.25">
      <c r="B8" s="41" t="s">
        <v>202</v>
      </c>
      <c r="C8" s="41" t="s">
        <v>111</v>
      </c>
      <c r="D8" s="41" t="s">
        <v>115</v>
      </c>
      <c r="E8" s="41" t="s">
        <v>256</v>
      </c>
      <c r="F8" s="41" t="s">
        <v>223</v>
      </c>
      <c r="G8" s="41" t="s">
        <v>286</v>
      </c>
      <c r="H8" s="42" t="s">
        <v>153</v>
      </c>
    </row>
    <row r="9" spans="2:8" ht="21" customHeight="1" x14ac:dyDescent="0.25">
      <c r="B9" s="43"/>
      <c r="C9" s="43"/>
      <c r="D9" s="43"/>
      <c r="E9" s="43"/>
      <c r="F9" s="46"/>
      <c r="G9" s="46"/>
      <c r="H9" s="45" t="str">
        <f t="shared" ref="H9:H40" si="0">IF(B9="","",IF(AND(F9&lt;&gt;"",G9&lt;&gt;"",G9&lt;F9),"⚠ Échéance avant début","✓"))</f>
        <v/>
      </c>
    </row>
    <row r="10" spans="2:8" ht="21" customHeight="1" x14ac:dyDescent="0.25">
      <c r="B10" s="43"/>
      <c r="C10" s="43"/>
      <c r="D10" s="43"/>
      <c r="E10" s="43"/>
      <c r="F10" s="46"/>
      <c r="G10" s="46"/>
      <c r="H10" s="45" t="str">
        <f t="shared" si="0"/>
        <v/>
      </c>
    </row>
    <row r="11" spans="2:8" ht="21" customHeight="1" x14ac:dyDescent="0.25">
      <c r="B11" s="43"/>
      <c r="C11" s="43"/>
      <c r="D11" s="43"/>
      <c r="E11" s="43"/>
      <c r="F11" s="46"/>
      <c r="G11" s="46"/>
      <c r="H11" s="45" t="str">
        <f t="shared" si="0"/>
        <v/>
      </c>
    </row>
    <row r="12" spans="2:8" ht="21" customHeight="1" x14ac:dyDescent="0.25">
      <c r="B12" s="43"/>
      <c r="C12" s="43"/>
      <c r="D12" s="43"/>
      <c r="E12" s="43"/>
      <c r="F12" s="46"/>
      <c r="G12" s="46"/>
      <c r="H12" s="45" t="str">
        <f t="shared" si="0"/>
        <v/>
      </c>
    </row>
    <row r="13" spans="2:8" ht="21" customHeight="1" x14ac:dyDescent="0.25">
      <c r="B13" s="43"/>
      <c r="C13" s="43"/>
      <c r="D13" s="43"/>
      <c r="E13" s="43"/>
      <c r="F13" s="46"/>
      <c r="G13" s="46"/>
      <c r="H13" s="45" t="str">
        <f t="shared" si="0"/>
        <v/>
      </c>
    </row>
    <row r="14" spans="2:8" ht="21" customHeight="1" x14ac:dyDescent="0.25">
      <c r="B14" s="43"/>
      <c r="C14" s="43"/>
      <c r="D14" s="43"/>
      <c r="E14" s="43"/>
      <c r="F14" s="46"/>
      <c r="G14" s="46"/>
      <c r="H14" s="45" t="str">
        <f t="shared" si="0"/>
        <v/>
      </c>
    </row>
    <row r="15" spans="2:8" ht="21" customHeight="1" x14ac:dyDescent="0.25">
      <c r="B15" s="43"/>
      <c r="C15" s="43"/>
      <c r="D15" s="43"/>
      <c r="E15" s="43"/>
      <c r="F15" s="46"/>
      <c r="G15" s="46"/>
      <c r="H15" s="45" t="str">
        <f t="shared" si="0"/>
        <v/>
      </c>
    </row>
    <row r="16" spans="2:8" ht="21" customHeight="1" x14ac:dyDescent="0.25">
      <c r="B16" s="43"/>
      <c r="C16" s="43"/>
      <c r="D16" s="43"/>
      <c r="E16" s="43"/>
      <c r="F16" s="46"/>
      <c r="G16" s="46"/>
      <c r="H16" s="45" t="str">
        <f t="shared" si="0"/>
        <v/>
      </c>
    </row>
    <row r="17" spans="2:8" ht="21" customHeight="1" x14ac:dyDescent="0.25">
      <c r="B17" s="43"/>
      <c r="C17" s="43"/>
      <c r="D17" s="43"/>
      <c r="E17" s="43"/>
      <c r="F17" s="46"/>
      <c r="G17" s="46"/>
      <c r="H17" s="45" t="str">
        <f t="shared" si="0"/>
        <v/>
      </c>
    </row>
    <row r="18" spans="2:8" ht="21" customHeight="1" x14ac:dyDescent="0.25">
      <c r="B18" s="43"/>
      <c r="C18" s="43"/>
      <c r="D18" s="43"/>
      <c r="E18" s="43"/>
      <c r="F18" s="46"/>
      <c r="G18" s="46"/>
      <c r="H18" s="45" t="str">
        <f t="shared" si="0"/>
        <v/>
      </c>
    </row>
    <row r="19" spans="2:8" ht="21" customHeight="1" x14ac:dyDescent="0.25">
      <c r="B19" s="43"/>
      <c r="C19" s="43"/>
      <c r="D19" s="43"/>
      <c r="E19" s="43"/>
      <c r="F19" s="46"/>
      <c r="G19" s="46"/>
      <c r="H19" s="45" t="str">
        <f t="shared" si="0"/>
        <v/>
      </c>
    </row>
    <row r="20" spans="2:8" ht="21" customHeight="1" x14ac:dyDescent="0.25">
      <c r="B20" s="43"/>
      <c r="C20" s="43"/>
      <c r="D20" s="43"/>
      <c r="E20" s="43"/>
      <c r="F20" s="46"/>
      <c r="G20" s="46"/>
      <c r="H20" s="45" t="str">
        <f t="shared" si="0"/>
        <v/>
      </c>
    </row>
    <row r="21" spans="2:8" ht="21" customHeight="1" x14ac:dyDescent="0.25">
      <c r="B21" s="43"/>
      <c r="C21" s="43"/>
      <c r="D21" s="43"/>
      <c r="E21" s="43"/>
      <c r="F21" s="46"/>
      <c r="G21" s="46"/>
      <c r="H21" s="45" t="str">
        <f t="shared" si="0"/>
        <v/>
      </c>
    </row>
    <row r="22" spans="2:8" ht="21" customHeight="1" x14ac:dyDescent="0.25">
      <c r="B22" s="43"/>
      <c r="C22" s="43"/>
      <c r="D22" s="43"/>
      <c r="E22" s="43"/>
      <c r="F22" s="46"/>
      <c r="G22" s="46"/>
      <c r="H22" s="45" t="str">
        <f t="shared" si="0"/>
        <v/>
      </c>
    </row>
    <row r="23" spans="2:8" ht="21" customHeight="1" x14ac:dyDescent="0.25">
      <c r="B23" s="43"/>
      <c r="C23" s="43"/>
      <c r="D23" s="43"/>
      <c r="E23" s="43"/>
      <c r="F23" s="46"/>
      <c r="G23" s="46"/>
      <c r="H23" s="45" t="str">
        <f t="shared" si="0"/>
        <v/>
      </c>
    </row>
    <row r="24" spans="2:8" ht="21" customHeight="1" x14ac:dyDescent="0.25">
      <c r="B24" s="43"/>
      <c r="C24" s="43"/>
      <c r="D24" s="43"/>
      <c r="E24" s="43"/>
      <c r="F24" s="46"/>
      <c r="G24" s="46"/>
      <c r="H24" s="45" t="str">
        <f t="shared" si="0"/>
        <v/>
      </c>
    </row>
    <row r="25" spans="2:8" ht="21" customHeight="1" x14ac:dyDescent="0.25">
      <c r="B25" s="43"/>
      <c r="C25" s="43"/>
      <c r="D25" s="43"/>
      <c r="E25" s="43"/>
      <c r="F25" s="46"/>
      <c r="G25" s="46"/>
      <c r="H25" s="45" t="str">
        <f t="shared" si="0"/>
        <v/>
      </c>
    </row>
    <row r="26" spans="2:8" ht="21" customHeight="1" x14ac:dyDescent="0.25">
      <c r="B26" s="43"/>
      <c r="C26" s="43"/>
      <c r="D26" s="43"/>
      <c r="E26" s="43"/>
      <c r="F26" s="46"/>
      <c r="G26" s="46"/>
      <c r="H26" s="45" t="str">
        <f t="shared" si="0"/>
        <v/>
      </c>
    </row>
    <row r="27" spans="2:8" ht="21" customHeight="1" x14ac:dyDescent="0.25">
      <c r="B27" s="43"/>
      <c r="C27" s="43"/>
      <c r="D27" s="43"/>
      <c r="E27" s="43"/>
      <c r="F27" s="46"/>
      <c r="G27" s="46"/>
      <c r="H27" s="45" t="str">
        <f t="shared" si="0"/>
        <v/>
      </c>
    </row>
    <row r="28" spans="2:8" ht="21" customHeight="1" x14ac:dyDescent="0.25">
      <c r="B28" s="43"/>
      <c r="C28" s="43"/>
      <c r="D28" s="43"/>
      <c r="E28" s="43"/>
      <c r="F28" s="46"/>
      <c r="G28" s="46"/>
      <c r="H28" s="45" t="str">
        <f t="shared" si="0"/>
        <v/>
      </c>
    </row>
    <row r="29" spans="2:8" ht="21" customHeight="1" x14ac:dyDescent="0.25">
      <c r="B29" s="43"/>
      <c r="C29" s="43"/>
      <c r="D29" s="43"/>
      <c r="E29" s="43"/>
      <c r="F29" s="46"/>
      <c r="G29" s="46"/>
      <c r="H29" s="45" t="str">
        <f t="shared" si="0"/>
        <v/>
      </c>
    </row>
    <row r="30" spans="2:8" ht="21" customHeight="1" x14ac:dyDescent="0.25">
      <c r="B30" s="43"/>
      <c r="C30" s="43"/>
      <c r="D30" s="43"/>
      <c r="E30" s="43"/>
      <c r="F30" s="46"/>
      <c r="G30" s="46"/>
      <c r="H30" s="45" t="str">
        <f t="shared" si="0"/>
        <v/>
      </c>
    </row>
    <row r="31" spans="2:8" ht="21" customHeight="1" x14ac:dyDescent="0.25">
      <c r="B31" s="43"/>
      <c r="C31" s="43"/>
      <c r="D31" s="43"/>
      <c r="E31" s="43"/>
      <c r="F31" s="46"/>
      <c r="G31" s="46"/>
      <c r="H31" s="45" t="str">
        <f t="shared" si="0"/>
        <v/>
      </c>
    </row>
    <row r="32" spans="2:8" ht="21" customHeight="1" x14ac:dyDescent="0.25">
      <c r="B32" s="43"/>
      <c r="C32" s="43"/>
      <c r="D32" s="43"/>
      <c r="E32" s="43"/>
      <c r="F32" s="46"/>
      <c r="G32" s="46"/>
      <c r="H32" s="45" t="str">
        <f t="shared" si="0"/>
        <v/>
      </c>
    </row>
    <row r="33" spans="2:8" ht="21" customHeight="1" x14ac:dyDescent="0.25">
      <c r="B33" s="43"/>
      <c r="C33" s="43"/>
      <c r="D33" s="43"/>
      <c r="E33" s="43"/>
      <c r="F33" s="46"/>
      <c r="G33" s="46"/>
      <c r="H33" s="45" t="str">
        <f t="shared" si="0"/>
        <v/>
      </c>
    </row>
    <row r="34" spans="2:8" ht="21" customHeight="1" x14ac:dyDescent="0.25">
      <c r="B34" s="43"/>
      <c r="C34" s="43"/>
      <c r="D34" s="43"/>
      <c r="E34" s="43"/>
      <c r="F34" s="46"/>
      <c r="G34" s="46"/>
      <c r="H34" s="45" t="str">
        <f t="shared" si="0"/>
        <v/>
      </c>
    </row>
    <row r="35" spans="2:8" ht="21" customHeight="1" x14ac:dyDescent="0.25">
      <c r="B35" s="43"/>
      <c r="C35" s="43"/>
      <c r="D35" s="43"/>
      <c r="E35" s="43"/>
      <c r="F35" s="46"/>
      <c r="G35" s="46"/>
      <c r="H35" s="45" t="str">
        <f t="shared" si="0"/>
        <v/>
      </c>
    </row>
    <row r="36" spans="2:8" ht="21" customHeight="1" x14ac:dyDescent="0.25">
      <c r="B36" s="43"/>
      <c r="C36" s="43"/>
      <c r="D36" s="43"/>
      <c r="E36" s="43"/>
      <c r="F36" s="46"/>
      <c r="G36" s="46"/>
      <c r="H36" s="45" t="str">
        <f t="shared" si="0"/>
        <v/>
      </c>
    </row>
    <row r="37" spans="2:8" ht="21" customHeight="1" x14ac:dyDescent="0.25">
      <c r="B37" s="43"/>
      <c r="C37" s="43"/>
      <c r="D37" s="43"/>
      <c r="E37" s="43"/>
      <c r="F37" s="46"/>
      <c r="G37" s="46"/>
      <c r="H37" s="45" t="str">
        <f t="shared" si="0"/>
        <v/>
      </c>
    </row>
    <row r="38" spans="2:8" ht="21" customHeight="1" x14ac:dyDescent="0.25">
      <c r="B38" s="43"/>
      <c r="C38" s="43"/>
      <c r="D38" s="43"/>
      <c r="E38" s="43"/>
      <c r="F38" s="46"/>
      <c r="G38" s="46"/>
      <c r="H38" s="45" t="str">
        <f t="shared" si="0"/>
        <v/>
      </c>
    </row>
    <row r="39" spans="2:8" ht="21" customHeight="1" x14ac:dyDescent="0.25">
      <c r="B39" s="43"/>
      <c r="C39" s="43"/>
      <c r="D39" s="43"/>
      <c r="E39" s="43"/>
      <c r="F39" s="46"/>
      <c r="G39" s="46"/>
      <c r="H39" s="45" t="str">
        <f t="shared" si="0"/>
        <v/>
      </c>
    </row>
    <row r="40" spans="2:8" ht="21" customHeight="1" x14ac:dyDescent="0.25">
      <c r="B40" s="43"/>
      <c r="C40" s="43"/>
      <c r="D40" s="43"/>
      <c r="E40" s="43"/>
      <c r="F40" s="46"/>
      <c r="G40" s="46"/>
      <c r="H40" s="45" t="str">
        <f t="shared" si="0"/>
        <v/>
      </c>
    </row>
    <row r="41" spans="2:8" ht="21" customHeight="1" x14ac:dyDescent="0.25">
      <c r="B41" s="43"/>
      <c r="C41" s="43"/>
      <c r="D41" s="43"/>
      <c r="E41" s="43"/>
      <c r="F41" s="46"/>
      <c r="G41" s="46"/>
      <c r="H41" s="45" t="str">
        <f t="shared" ref="H41:H72" si="1">IF(B41="","",IF(AND(F41&lt;&gt;"",G41&lt;&gt;"",G41&lt;F41),"⚠ Échéance avant début","✓"))</f>
        <v/>
      </c>
    </row>
    <row r="42" spans="2:8" ht="21" customHeight="1" x14ac:dyDescent="0.25">
      <c r="B42" s="43"/>
      <c r="C42" s="43"/>
      <c r="D42" s="43"/>
      <c r="E42" s="43"/>
      <c r="F42" s="46"/>
      <c r="G42" s="46"/>
      <c r="H42" s="45" t="str">
        <f t="shared" si="1"/>
        <v/>
      </c>
    </row>
    <row r="43" spans="2:8" ht="21" customHeight="1" x14ac:dyDescent="0.25">
      <c r="B43" s="43"/>
      <c r="C43" s="43"/>
      <c r="D43" s="43"/>
      <c r="E43" s="43"/>
      <c r="F43" s="46"/>
      <c r="G43" s="46"/>
      <c r="H43" s="45" t="str">
        <f t="shared" si="1"/>
        <v/>
      </c>
    </row>
    <row r="44" spans="2:8" ht="21" customHeight="1" x14ac:dyDescent="0.25">
      <c r="B44" s="43"/>
      <c r="C44" s="43"/>
      <c r="D44" s="43"/>
      <c r="E44" s="43"/>
      <c r="F44" s="46"/>
      <c r="G44" s="46"/>
      <c r="H44" s="45" t="str">
        <f t="shared" si="1"/>
        <v/>
      </c>
    </row>
    <row r="45" spans="2:8" ht="21" customHeight="1" x14ac:dyDescent="0.25">
      <c r="B45" s="43"/>
      <c r="C45" s="43"/>
      <c r="D45" s="43"/>
      <c r="E45" s="43"/>
      <c r="F45" s="46"/>
      <c r="G45" s="46"/>
      <c r="H45" s="45" t="str">
        <f t="shared" si="1"/>
        <v/>
      </c>
    </row>
    <row r="46" spans="2:8" ht="21" customHeight="1" x14ac:dyDescent="0.25">
      <c r="B46" s="43"/>
      <c r="C46" s="43"/>
      <c r="D46" s="43"/>
      <c r="E46" s="43"/>
      <c r="F46" s="46"/>
      <c r="G46" s="46"/>
      <c r="H46" s="45" t="str">
        <f t="shared" si="1"/>
        <v/>
      </c>
    </row>
    <row r="47" spans="2:8" ht="21" customHeight="1" x14ac:dyDescent="0.25">
      <c r="B47" s="43"/>
      <c r="C47" s="43"/>
      <c r="D47" s="43"/>
      <c r="E47" s="43"/>
      <c r="F47" s="46"/>
      <c r="G47" s="46"/>
      <c r="H47" s="45" t="str">
        <f t="shared" si="1"/>
        <v/>
      </c>
    </row>
    <row r="48" spans="2:8" ht="21" customHeight="1" x14ac:dyDescent="0.25">
      <c r="B48" s="43"/>
      <c r="C48" s="43"/>
      <c r="D48" s="43"/>
      <c r="E48" s="43"/>
      <c r="F48" s="46"/>
      <c r="G48" s="46"/>
      <c r="H48" s="45" t="str">
        <f t="shared" si="1"/>
        <v/>
      </c>
    </row>
    <row r="49" spans="2:8" ht="21" customHeight="1" x14ac:dyDescent="0.25">
      <c r="B49" s="43"/>
      <c r="C49" s="43"/>
      <c r="D49" s="43"/>
      <c r="E49" s="43"/>
      <c r="F49" s="46"/>
      <c r="G49" s="46"/>
      <c r="H49" s="45" t="str">
        <f t="shared" si="1"/>
        <v/>
      </c>
    </row>
    <row r="50" spans="2:8" ht="21" customHeight="1" x14ac:dyDescent="0.25">
      <c r="B50" s="43"/>
      <c r="C50" s="43"/>
      <c r="D50" s="43"/>
      <c r="E50" s="43"/>
      <c r="F50" s="46"/>
      <c r="G50" s="46"/>
      <c r="H50" s="45" t="str">
        <f t="shared" si="1"/>
        <v/>
      </c>
    </row>
    <row r="51" spans="2:8" ht="21" customHeight="1" x14ac:dyDescent="0.25">
      <c r="B51" s="43"/>
      <c r="C51" s="43"/>
      <c r="D51" s="43"/>
      <c r="E51" s="43"/>
      <c r="F51" s="46"/>
      <c r="G51" s="46"/>
      <c r="H51" s="45" t="str">
        <f t="shared" si="1"/>
        <v/>
      </c>
    </row>
    <row r="52" spans="2:8" ht="21" customHeight="1" x14ac:dyDescent="0.25">
      <c r="B52" s="43"/>
      <c r="C52" s="43"/>
      <c r="D52" s="43"/>
      <c r="E52" s="43"/>
      <c r="F52" s="46"/>
      <c r="G52" s="46"/>
      <c r="H52" s="45" t="str">
        <f t="shared" si="1"/>
        <v/>
      </c>
    </row>
    <row r="53" spans="2:8" ht="21" customHeight="1" x14ac:dyDescent="0.25">
      <c r="B53" s="43"/>
      <c r="C53" s="43"/>
      <c r="D53" s="43"/>
      <c r="E53" s="43"/>
      <c r="F53" s="46"/>
      <c r="G53" s="46"/>
      <c r="H53" s="45" t="str">
        <f t="shared" si="1"/>
        <v/>
      </c>
    </row>
    <row r="54" spans="2:8" ht="21" customHeight="1" x14ac:dyDescent="0.25">
      <c r="B54" s="43"/>
      <c r="C54" s="43"/>
      <c r="D54" s="43"/>
      <c r="E54" s="43"/>
      <c r="F54" s="46"/>
      <c r="G54" s="46"/>
      <c r="H54" s="45" t="str">
        <f t="shared" si="1"/>
        <v/>
      </c>
    </row>
    <row r="55" spans="2:8" ht="21" customHeight="1" x14ac:dyDescent="0.25">
      <c r="B55" s="43"/>
      <c r="C55" s="43"/>
      <c r="D55" s="43"/>
      <c r="E55" s="43"/>
      <c r="F55" s="46"/>
      <c r="G55" s="46"/>
      <c r="H55" s="45" t="str">
        <f t="shared" si="1"/>
        <v/>
      </c>
    </row>
    <row r="56" spans="2:8" ht="21" customHeight="1" x14ac:dyDescent="0.25">
      <c r="B56" s="43"/>
      <c r="C56" s="43"/>
      <c r="D56" s="43"/>
      <c r="E56" s="43"/>
      <c r="F56" s="46"/>
      <c r="G56" s="46"/>
      <c r="H56" s="45" t="str">
        <f t="shared" si="1"/>
        <v/>
      </c>
    </row>
    <row r="57" spans="2:8" ht="21" customHeight="1" x14ac:dyDescent="0.25">
      <c r="B57" s="43"/>
      <c r="C57" s="43"/>
      <c r="D57" s="43"/>
      <c r="E57" s="43"/>
      <c r="F57" s="46"/>
      <c r="G57" s="46"/>
      <c r="H57" s="45" t="str">
        <f t="shared" si="1"/>
        <v/>
      </c>
    </row>
    <row r="58" spans="2:8" ht="21" customHeight="1" x14ac:dyDescent="0.25">
      <c r="B58" s="43"/>
      <c r="C58" s="43"/>
      <c r="D58" s="43"/>
      <c r="E58" s="43"/>
      <c r="F58" s="46"/>
      <c r="G58" s="46"/>
      <c r="H58" s="45" t="str">
        <f t="shared" si="1"/>
        <v/>
      </c>
    </row>
    <row r="59" spans="2:8" ht="21" customHeight="1" x14ac:dyDescent="0.25">
      <c r="B59" s="43"/>
      <c r="C59" s="43"/>
      <c r="D59" s="43"/>
      <c r="E59" s="43"/>
      <c r="F59" s="46"/>
      <c r="G59" s="46"/>
      <c r="H59" s="45" t="str">
        <f t="shared" si="1"/>
        <v/>
      </c>
    </row>
    <row r="60" spans="2:8" ht="21" customHeight="1" x14ac:dyDescent="0.25">
      <c r="B60" s="43"/>
      <c r="C60" s="43"/>
      <c r="D60" s="43"/>
      <c r="E60" s="43"/>
      <c r="F60" s="46"/>
      <c r="G60" s="46"/>
      <c r="H60" s="45" t="str">
        <f t="shared" si="1"/>
        <v/>
      </c>
    </row>
    <row r="61" spans="2:8" ht="21" customHeight="1" x14ac:dyDescent="0.25">
      <c r="B61" s="43"/>
      <c r="C61" s="43"/>
      <c r="D61" s="43"/>
      <c r="E61" s="43"/>
      <c r="F61" s="46"/>
      <c r="G61" s="46"/>
      <c r="H61" s="45" t="str">
        <f t="shared" si="1"/>
        <v/>
      </c>
    </row>
    <row r="62" spans="2:8" ht="21" customHeight="1" x14ac:dyDescent="0.25">
      <c r="B62" s="43"/>
      <c r="C62" s="43"/>
      <c r="D62" s="43"/>
      <c r="E62" s="43"/>
      <c r="F62" s="46"/>
      <c r="G62" s="46"/>
      <c r="H62" s="45" t="str">
        <f t="shared" si="1"/>
        <v/>
      </c>
    </row>
    <row r="63" spans="2:8" ht="21" customHeight="1" x14ac:dyDescent="0.25">
      <c r="B63" s="43"/>
      <c r="C63" s="43"/>
      <c r="D63" s="43"/>
      <c r="E63" s="43"/>
      <c r="F63" s="46"/>
      <c r="G63" s="46"/>
      <c r="H63" s="45" t="str">
        <f t="shared" si="1"/>
        <v/>
      </c>
    </row>
    <row r="64" spans="2:8" ht="21" customHeight="1" x14ac:dyDescent="0.25">
      <c r="B64" s="43"/>
      <c r="C64" s="43"/>
      <c r="D64" s="43"/>
      <c r="E64" s="43"/>
      <c r="F64" s="46"/>
      <c r="G64" s="46"/>
      <c r="H64" s="45" t="str">
        <f t="shared" si="1"/>
        <v/>
      </c>
    </row>
    <row r="65" spans="2:8" ht="21" customHeight="1" x14ac:dyDescent="0.25">
      <c r="B65" s="43"/>
      <c r="C65" s="43"/>
      <c r="D65" s="43"/>
      <c r="E65" s="43"/>
      <c r="F65" s="46"/>
      <c r="G65" s="46"/>
      <c r="H65" s="45" t="str">
        <f t="shared" si="1"/>
        <v/>
      </c>
    </row>
    <row r="66" spans="2:8" ht="21" customHeight="1" x14ac:dyDescent="0.25">
      <c r="B66" s="43"/>
      <c r="C66" s="43"/>
      <c r="D66" s="43"/>
      <c r="E66" s="43"/>
      <c r="F66" s="46"/>
      <c r="G66" s="46"/>
      <c r="H66" s="45" t="str">
        <f t="shared" si="1"/>
        <v/>
      </c>
    </row>
    <row r="67" spans="2:8" ht="21" customHeight="1" x14ac:dyDescent="0.25">
      <c r="B67" s="43"/>
      <c r="C67" s="43"/>
      <c r="D67" s="43"/>
      <c r="E67" s="43"/>
      <c r="F67" s="46"/>
      <c r="G67" s="46"/>
      <c r="H67" s="45" t="str">
        <f t="shared" si="1"/>
        <v/>
      </c>
    </row>
    <row r="68" spans="2:8" ht="21" customHeight="1" x14ac:dyDescent="0.25">
      <c r="B68" s="43"/>
      <c r="C68" s="43"/>
      <c r="D68" s="43"/>
      <c r="E68" s="43"/>
      <c r="F68" s="46"/>
      <c r="G68" s="46"/>
      <c r="H68" s="45" t="str">
        <f t="shared" si="1"/>
        <v/>
      </c>
    </row>
    <row r="69" spans="2:8" ht="21" customHeight="1" x14ac:dyDescent="0.25">
      <c r="B69" s="43"/>
      <c r="C69" s="43"/>
      <c r="D69" s="43"/>
      <c r="E69" s="43"/>
      <c r="F69" s="46"/>
      <c r="G69" s="46"/>
      <c r="H69" s="45" t="str">
        <f t="shared" si="1"/>
        <v/>
      </c>
    </row>
    <row r="70" spans="2:8" ht="21" customHeight="1" x14ac:dyDescent="0.25">
      <c r="B70" s="43"/>
      <c r="C70" s="43"/>
      <c r="D70" s="43"/>
      <c r="E70" s="43"/>
      <c r="F70" s="46"/>
      <c r="G70" s="46"/>
      <c r="H70" s="45" t="str">
        <f t="shared" si="1"/>
        <v/>
      </c>
    </row>
    <row r="71" spans="2:8" ht="21" customHeight="1" x14ac:dyDescent="0.25">
      <c r="B71" s="43"/>
      <c r="C71" s="43"/>
      <c r="D71" s="43"/>
      <c r="E71" s="43"/>
      <c r="F71" s="46"/>
      <c r="G71" s="46"/>
      <c r="H71" s="45" t="str">
        <f t="shared" si="1"/>
        <v/>
      </c>
    </row>
    <row r="72" spans="2:8" ht="21" customHeight="1" x14ac:dyDescent="0.25">
      <c r="B72" s="43"/>
      <c r="C72" s="43"/>
      <c r="D72" s="43"/>
      <c r="E72" s="43"/>
      <c r="F72" s="46"/>
      <c r="G72" s="46"/>
      <c r="H72" s="45" t="str">
        <f t="shared" si="1"/>
        <v/>
      </c>
    </row>
    <row r="73" spans="2:8" ht="21" customHeight="1" x14ac:dyDescent="0.25">
      <c r="B73" s="43"/>
      <c r="C73" s="43"/>
      <c r="D73" s="43"/>
      <c r="E73" s="43"/>
      <c r="F73" s="46"/>
      <c r="G73" s="46"/>
      <c r="H73" s="45" t="str">
        <f t="shared" ref="H73:H104" si="2">IF(B73="","",IF(AND(F73&lt;&gt;"",G73&lt;&gt;"",G73&lt;F73),"⚠ Échéance avant début","✓"))</f>
        <v/>
      </c>
    </row>
    <row r="74" spans="2:8" ht="21" customHeight="1" x14ac:dyDescent="0.25">
      <c r="B74" s="43"/>
      <c r="C74" s="43"/>
      <c r="D74" s="43"/>
      <c r="E74" s="43"/>
      <c r="F74" s="46"/>
      <c r="G74" s="46"/>
      <c r="H74" s="45" t="str">
        <f t="shared" si="2"/>
        <v/>
      </c>
    </row>
    <row r="75" spans="2:8" ht="21" customHeight="1" x14ac:dyDescent="0.25">
      <c r="B75" s="43"/>
      <c r="C75" s="43"/>
      <c r="D75" s="43"/>
      <c r="E75" s="43"/>
      <c r="F75" s="46"/>
      <c r="G75" s="46"/>
      <c r="H75" s="45" t="str">
        <f t="shared" si="2"/>
        <v/>
      </c>
    </row>
    <row r="76" spans="2:8" ht="21" customHeight="1" x14ac:dyDescent="0.25">
      <c r="B76" s="43"/>
      <c r="C76" s="43"/>
      <c r="D76" s="43"/>
      <c r="E76" s="43"/>
      <c r="F76" s="46"/>
      <c r="G76" s="46"/>
      <c r="H76" s="45" t="str">
        <f t="shared" si="2"/>
        <v/>
      </c>
    </row>
    <row r="77" spans="2:8" ht="21" customHeight="1" x14ac:dyDescent="0.25">
      <c r="B77" s="43"/>
      <c r="C77" s="43"/>
      <c r="D77" s="43"/>
      <c r="E77" s="43"/>
      <c r="F77" s="46"/>
      <c r="G77" s="46"/>
      <c r="H77" s="45" t="str">
        <f t="shared" si="2"/>
        <v/>
      </c>
    </row>
    <row r="78" spans="2:8" ht="21" customHeight="1" x14ac:dyDescent="0.25">
      <c r="B78" s="43"/>
      <c r="C78" s="43"/>
      <c r="D78" s="43"/>
      <c r="E78" s="43"/>
      <c r="F78" s="46"/>
      <c r="G78" s="46"/>
      <c r="H78" s="45" t="str">
        <f t="shared" si="2"/>
        <v/>
      </c>
    </row>
    <row r="79" spans="2:8" ht="21" customHeight="1" x14ac:dyDescent="0.25">
      <c r="B79" s="43"/>
      <c r="C79" s="43"/>
      <c r="D79" s="43"/>
      <c r="E79" s="43"/>
      <c r="F79" s="46"/>
      <c r="G79" s="46"/>
      <c r="H79" s="45" t="str">
        <f t="shared" si="2"/>
        <v/>
      </c>
    </row>
    <row r="80" spans="2:8" ht="21" customHeight="1" x14ac:dyDescent="0.25">
      <c r="B80" s="43"/>
      <c r="C80" s="43"/>
      <c r="D80" s="43"/>
      <c r="E80" s="43"/>
      <c r="F80" s="46"/>
      <c r="G80" s="46"/>
      <c r="H80" s="45" t="str">
        <f t="shared" si="2"/>
        <v/>
      </c>
    </row>
    <row r="81" spans="2:8" ht="21" customHeight="1" x14ac:dyDescent="0.25">
      <c r="B81" s="43"/>
      <c r="C81" s="43"/>
      <c r="D81" s="43"/>
      <c r="E81" s="43"/>
      <c r="F81" s="46"/>
      <c r="G81" s="46"/>
      <c r="H81" s="45" t="str">
        <f t="shared" si="2"/>
        <v/>
      </c>
    </row>
    <row r="82" spans="2:8" ht="21" customHeight="1" x14ac:dyDescent="0.25">
      <c r="B82" s="43"/>
      <c r="C82" s="43"/>
      <c r="D82" s="43"/>
      <c r="E82" s="43"/>
      <c r="F82" s="46"/>
      <c r="G82" s="46"/>
      <c r="H82" s="45" t="str">
        <f t="shared" si="2"/>
        <v/>
      </c>
    </row>
    <row r="83" spans="2:8" ht="21" customHeight="1" x14ac:dyDescent="0.25">
      <c r="B83" s="43"/>
      <c r="C83" s="43"/>
      <c r="D83" s="43"/>
      <c r="E83" s="43"/>
      <c r="F83" s="46"/>
      <c r="G83" s="46"/>
      <c r="H83" s="45" t="str">
        <f t="shared" si="2"/>
        <v/>
      </c>
    </row>
    <row r="84" spans="2:8" ht="21" customHeight="1" x14ac:dyDescent="0.25">
      <c r="B84" s="43"/>
      <c r="C84" s="43"/>
      <c r="D84" s="43"/>
      <c r="E84" s="43"/>
      <c r="F84" s="46"/>
      <c r="G84" s="46"/>
      <c r="H84" s="45" t="str">
        <f t="shared" si="2"/>
        <v/>
      </c>
    </row>
    <row r="85" spans="2:8" ht="21" customHeight="1" x14ac:dyDescent="0.25">
      <c r="B85" s="43"/>
      <c r="C85" s="43"/>
      <c r="D85" s="43"/>
      <c r="E85" s="43"/>
      <c r="F85" s="46"/>
      <c r="G85" s="46"/>
      <c r="H85" s="45" t="str">
        <f t="shared" si="2"/>
        <v/>
      </c>
    </row>
    <row r="86" spans="2:8" ht="21" customHeight="1" x14ac:dyDescent="0.25">
      <c r="B86" s="43"/>
      <c r="C86" s="43"/>
      <c r="D86" s="43"/>
      <c r="E86" s="43"/>
      <c r="F86" s="46"/>
      <c r="G86" s="46"/>
      <c r="H86" s="45" t="str">
        <f t="shared" si="2"/>
        <v/>
      </c>
    </row>
    <row r="87" spans="2:8" ht="21" customHeight="1" x14ac:dyDescent="0.25">
      <c r="B87" s="43"/>
      <c r="C87" s="43"/>
      <c r="D87" s="43"/>
      <c r="E87" s="43"/>
      <c r="F87" s="46"/>
      <c r="G87" s="46"/>
      <c r="H87" s="45" t="str">
        <f t="shared" si="2"/>
        <v/>
      </c>
    </row>
    <row r="88" spans="2:8" ht="21" customHeight="1" x14ac:dyDescent="0.25">
      <c r="B88" s="43"/>
      <c r="C88" s="43"/>
      <c r="D88" s="43"/>
      <c r="E88" s="43"/>
      <c r="F88" s="46"/>
      <c r="G88" s="46"/>
      <c r="H88" s="45" t="str">
        <f t="shared" si="2"/>
        <v/>
      </c>
    </row>
    <row r="89" spans="2:8" ht="21" customHeight="1" x14ac:dyDescent="0.25">
      <c r="B89" s="43"/>
      <c r="C89" s="43"/>
      <c r="D89" s="43"/>
      <c r="E89" s="43"/>
      <c r="F89" s="46"/>
      <c r="G89" s="46"/>
      <c r="H89" s="45" t="str">
        <f t="shared" si="2"/>
        <v/>
      </c>
    </row>
    <row r="90" spans="2:8" ht="21" customHeight="1" x14ac:dyDescent="0.25">
      <c r="B90" s="43"/>
      <c r="C90" s="43"/>
      <c r="D90" s="43"/>
      <c r="E90" s="43"/>
      <c r="F90" s="46"/>
      <c r="G90" s="46"/>
      <c r="H90" s="45" t="str">
        <f t="shared" si="2"/>
        <v/>
      </c>
    </row>
    <row r="91" spans="2:8" ht="21" customHeight="1" x14ac:dyDescent="0.25">
      <c r="B91" s="43"/>
      <c r="C91" s="43"/>
      <c r="D91" s="43"/>
      <c r="E91" s="43"/>
      <c r="F91" s="46"/>
      <c r="G91" s="46"/>
      <c r="H91" s="45" t="str">
        <f t="shared" si="2"/>
        <v/>
      </c>
    </row>
    <row r="92" spans="2:8" ht="21" customHeight="1" x14ac:dyDescent="0.25">
      <c r="B92" s="43"/>
      <c r="C92" s="43"/>
      <c r="D92" s="43"/>
      <c r="E92" s="43"/>
      <c r="F92" s="46"/>
      <c r="G92" s="46"/>
      <c r="H92" s="45" t="str">
        <f t="shared" si="2"/>
        <v/>
      </c>
    </row>
    <row r="93" spans="2:8" ht="21" customHeight="1" x14ac:dyDescent="0.25">
      <c r="B93" s="43"/>
      <c r="C93" s="43"/>
      <c r="D93" s="43"/>
      <c r="E93" s="43"/>
      <c r="F93" s="46"/>
      <c r="G93" s="46"/>
      <c r="H93" s="45" t="str">
        <f t="shared" si="2"/>
        <v/>
      </c>
    </row>
    <row r="94" spans="2:8" ht="21" customHeight="1" x14ac:dyDescent="0.25">
      <c r="B94" s="43"/>
      <c r="C94" s="43"/>
      <c r="D94" s="43"/>
      <c r="E94" s="43"/>
      <c r="F94" s="46"/>
      <c r="G94" s="46"/>
      <c r="H94" s="45" t="str">
        <f t="shared" si="2"/>
        <v/>
      </c>
    </row>
    <row r="95" spans="2:8" ht="21" customHeight="1" x14ac:dyDescent="0.25">
      <c r="B95" s="43"/>
      <c r="C95" s="43"/>
      <c r="D95" s="43"/>
      <c r="E95" s="43"/>
      <c r="F95" s="46"/>
      <c r="G95" s="46"/>
      <c r="H95" s="45" t="str">
        <f t="shared" si="2"/>
        <v/>
      </c>
    </row>
    <row r="96" spans="2:8" ht="21" customHeight="1" x14ac:dyDescent="0.25">
      <c r="B96" s="43"/>
      <c r="C96" s="43"/>
      <c r="D96" s="43"/>
      <c r="E96" s="43"/>
      <c r="F96" s="46"/>
      <c r="G96" s="46"/>
      <c r="H96" s="45" t="str">
        <f t="shared" si="2"/>
        <v/>
      </c>
    </row>
    <row r="97" spans="2:8" ht="21" customHeight="1" x14ac:dyDescent="0.25">
      <c r="B97" s="43"/>
      <c r="C97" s="43"/>
      <c r="D97" s="43"/>
      <c r="E97" s="43"/>
      <c r="F97" s="46"/>
      <c r="G97" s="46"/>
      <c r="H97" s="45" t="str">
        <f t="shared" si="2"/>
        <v/>
      </c>
    </row>
    <row r="98" spans="2:8" ht="21" customHeight="1" x14ac:dyDescent="0.25">
      <c r="B98" s="43"/>
      <c r="C98" s="43"/>
      <c r="D98" s="43"/>
      <c r="E98" s="43"/>
      <c r="F98" s="46"/>
      <c r="G98" s="46"/>
      <c r="H98" s="45" t="str">
        <f t="shared" si="2"/>
        <v/>
      </c>
    </row>
    <row r="99" spans="2:8" ht="21" customHeight="1" x14ac:dyDescent="0.25">
      <c r="B99" s="43"/>
      <c r="C99" s="43"/>
      <c r="D99" s="43"/>
      <c r="E99" s="43"/>
      <c r="F99" s="46"/>
      <c r="G99" s="46"/>
      <c r="H99" s="45" t="str">
        <f t="shared" si="2"/>
        <v/>
      </c>
    </row>
    <row r="100" spans="2:8" ht="21" customHeight="1" x14ac:dyDescent="0.25">
      <c r="B100" s="43"/>
      <c r="C100" s="43"/>
      <c r="D100" s="43"/>
      <c r="E100" s="43"/>
      <c r="F100" s="46"/>
      <c r="G100" s="46"/>
      <c r="H100" s="45" t="str">
        <f t="shared" si="2"/>
        <v/>
      </c>
    </row>
    <row r="101" spans="2:8" ht="21" customHeight="1" x14ac:dyDescent="0.25">
      <c r="B101" s="43"/>
      <c r="C101" s="43"/>
      <c r="D101" s="43"/>
      <c r="E101" s="43"/>
      <c r="F101" s="46"/>
      <c r="G101" s="46"/>
      <c r="H101" s="45" t="str">
        <f t="shared" si="2"/>
        <v/>
      </c>
    </row>
    <row r="102" spans="2:8" ht="21" customHeight="1" x14ac:dyDescent="0.25">
      <c r="B102" s="43"/>
      <c r="C102" s="43"/>
      <c r="D102" s="43"/>
      <c r="E102" s="43"/>
      <c r="F102" s="46"/>
      <c r="G102" s="46"/>
      <c r="H102" s="45" t="str">
        <f t="shared" si="2"/>
        <v/>
      </c>
    </row>
    <row r="103" spans="2:8" ht="21" customHeight="1" x14ac:dyDescent="0.25">
      <c r="B103" s="43"/>
      <c r="C103" s="43"/>
      <c r="D103" s="43"/>
      <c r="E103" s="43"/>
      <c r="F103" s="46"/>
      <c r="G103" s="46"/>
      <c r="H103" s="45" t="str">
        <f t="shared" si="2"/>
        <v/>
      </c>
    </row>
    <row r="104" spans="2:8" ht="21" customHeight="1" x14ac:dyDescent="0.25">
      <c r="B104" s="43"/>
      <c r="C104" s="43"/>
      <c r="D104" s="43"/>
      <c r="E104" s="43"/>
      <c r="F104" s="46"/>
      <c r="G104" s="46"/>
      <c r="H104" s="45" t="str">
        <f t="shared" si="2"/>
        <v/>
      </c>
    </row>
    <row r="105" spans="2:8" ht="21" customHeight="1" x14ac:dyDescent="0.25">
      <c r="B105" s="43"/>
      <c r="C105" s="43"/>
      <c r="D105" s="43"/>
      <c r="E105" s="43"/>
      <c r="F105" s="46"/>
      <c r="G105" s="46"/>
      <c r="H105" s="45" t="str">
        <f t="shared" ref="H105:H136" si="3">IF(B105="","",IF(AND(F105&lt;&gt;"",G105&lt;&gt;"",G105&lt;F105),"⚠ Échéance avant début","✓"))</f>
        <v/>
      </c>
    </row>
    <row r="106" spans="2:8" ht="21" customHeight="1" x14ac:dyDescent="0.25">
      <c r="B106" s="43"/>
      <c r="C106" s="43"/>
      <c r="D106" s="43"/>
      <c r="E106" s="43"/>
      <c r="F106" s="46"/>
      <c r="G106" s="46"/>
      <c r="H106" s="45" t="str">
        <f t="shared" si="3"/>
        <v/>
      </c>
    </row>
    <row r="107" spans="2:8" ht="21" customHeight="1" x14ac:dyDescent="0.25">
      <c r="B107" s="43"/>
      <c r="C107" s="43"/>
      <c r="D107" s="43"/>
      <c r="E107" s="43"/>
      <c r="F107" s="46"/>
      <c r="G107" s="46"/>
      <c r="H107" s="45" t="str">
        <f t="shared" si="3"/>
        <v/>
      </c>
    </row>
    <row r="108" spans="2:8" ht="21" customHeight="1" x14ac:dyDescent="0.25">
      <c r="B108" s="43"/>
      <c r="C108" s="43"/>
      <c r="D108" s="43"/>
      <c r="E108" s="43"/>
      <c r="F108" s="46"/>
      <c r="G108" s="46"/>
      <c r="H108" s="45" t="str">
        <f t="shared" si="3"/>
        <v/>
      </c>
    </row>
    <row r="109" spans="2:8" ht="21" customHeight="1" x14ac:dyDescent="0.25">
      <c r="B109" s="43"/>
      <c r="C109" s="43"/>
      <c r="D109" s="43"/>
      <c r="E109" s="43"/>
      <c r="F109" s="46"/>
      <c r="G109" s="46"/>
      <c r="H109" s="45" t="str">
        <f t="shared" si="3"/>
        <v/>
      </c>
    </row>
    <row r="110" spans="2:8" ht="21" customHeight="1" x14ac:dyDescent="0.25">
      <c r="B110" s="43"/>
      <c r="C110" s="43"/>
      <c r="D110" s="43"/>
      <c r="E110" s="43"/>
      <c r="F110" s="46"/>
      <c r="G110" s="46"/>
      <c r="H110" s="45" t="str">
        <f t="shared" si="3"/>
        <v/>
      </c>
    </row>
    <row r="111" spans="2:8" ht="21" customHeight="1" x14ac:dyDescent="0.25">
      <c r="B111" s="43"/>
      <c r="C111" s="43"/>
      <c r="D111" s="43"/>
      <c r="E111" s="43"/>
      <c r="F111" s="46"/>
      <c r="G111" s="46"/>
      <c r="H111" s="45" t="str">
        <f t="shared" si="3"/>
        <v/>
      </c>
    </row>
    <row r="112" spans="2:8" ht="21" customHeight="1" x14ac:dyDescent="0.25">
      <c r="B112" s="43"/>
      <c r="C112" s="43"/>
      <c r="D112" s="43"/>
      <c r="E112" s="43"/>
      <c r="F112" s="46"/>
      <c r="G112" s="46"/>
      <c r="H112" s="45" t="str">
        <f t="shared" si="3"/>
        <v/>
      </c>
    </row>
    <row r="113" spans="2:8" ht="21" customHeight="1" x14ac:dyDescent="0.25">
      <c r="B113" s="43"/>
      <c r="C113" s="43"/>
      <c r="D113" s="43"/>
      <c r="E113" s="43"/>
      <c r="F113" s="46"/>
      <c r="G113" s="46"/>
      <c r="H113" s="45" t="str">
        <f t="shared" si="3"/>
        <v/>
      </c>
    </row>
    <row r="114" spans="2:8" ht="21" customHeight="1" x14ac:dyDescent="0.25">
      <c r="B114" s="43"/>
      <c r="C114" s="43"/>
      <c r="D114" s="43"/>
      <c r="E114" s="43"/>
      <c r="F114" s="46"/>
      <c r="G114" s="46"/>
      <c r="H114" s="45" t="str">
        <f t="shared" si="3"/>
        <v/>
      </c>
    </row>
    <row r="115" spans="2:8" ht="21" customHeight="1" x14ac:dyDescent="0.25">
      <c r="B115" s="43"/>
      <c r="C115" s="43"/>
      <c r="D115" s="43"/>
      <c r="E115" s="43"/>
      <c r="F115" s="46"/>
      <c r="G115" s="46"/>
      <c r="H115" s="45" t="str">
        <f t="shared" si="3"/>
        <v/>
      </c>
    </row>
    <row r="116" spans="2:8" ht="21" customHeight="1" x14ac:dyDescent="0.25">
      <c r="B116" s="43"/>
      <c r="C116" s="43"/>
      <c r="D116" s="43"/>
      <c r="E116" s="43"/>
      <c r="F116" s="46"/>
      <c r="G116" s="46"/>
      <c r="H116" s="45" t="str">
        <f t="shared" si="3"/>
        <v/>
      </c>
    </row>
    <row r="117" spans="2:8" ht="21" customHeight="1" x14ac:dyDescent="0.25">
      <c r="B117" s="43"/>
      <c r="C117" s="43"/>
      <c r="D117" s="43"/>
      <c r="E117" s="43"/>
      <c r="F117" s="46"/>
      <c r="G117" s="46"/>
      <c r="H117" s="45" t="str">
        <f t="shared" si="3"/>
        <v/>
      </c>
    </row>
    <row r="118" spans="2:8" ht="21" customHeight="1" x14ac:dyDescent="0.25">
      <c r="B118" s="43"/>
      <c r="C118" s="43"/>
      <c r="D118" s="43"/>
      <c r="E118" s="43"/>
      <c r="F118" s="46"/>
      <c r="G118" s="46"/>
      <c r="H118" s="45" t="str">
        <f t="shared" si="3"/>
        <v/>
      </c>
    </row>
    <row r="119" spans="2:8" ht="21" customHeight="1" x14ac:dyDescent="0.25">
      <c r="B119" s="43"/>
      <c r="C119" s="43"/>
      <c r="D119" s="43"/>
      <c r="E119" s="43"/>
      <c r="F119" s="46"/>
      <c r="G119" s="46"/>
      <c r="H119" s="45" t="str">
        <f t="shared" si="3"/>
        <v/>
      </c>
    </row>
    <row r="120" spans="2:8" ht="21" customHeight="1" x14ac:dyDescent="0.25">
      <c r="B120" s="43"/>
      <c r="C120" s="43"/>
      <c r="D120" s="43"/>
      <c r="E120" s="43"/>
      <c r="F120" s="46"/>
      <c r="G120" s="46"/>
      <c r="H120" s="45" t="str">
        <f t="shared" si="3"/>
        <v/>
      </c>
    </row>
    <row r="121" spans="2:8" ht="21" customHeight="1" x14ac:dyDescent="0.25">
      <c r="B121" s="43"/>
      <c r="C121" s="43"/>
      <c r="D121" s="43"/>
      <c r="E121" s="43"/>
      <c r="F121" s="46"/>
      <c r="G121" s="46"/>
      <c r="H121" s="45" t="str">
        <f t="shared" si="3"/>
        <v/>
      </c>
    </row>
    <row r="122" spans="2:8" ht="21" customHeight="1" x14ac:dyDescent="0.25">
      <c r="B122" s="43"/>
      <c r="C122" s="43"/>
      <c r="D122" s="43"/>
      <c r="E122" s="43"/>
      <c r="F122" s="46"/>
      <c r="G122" s="46"/>
      <c r="H122" s="45" t="str">
        <f t="shared" si="3"/>
        <v/>
      </c>
    </row>
    <row r="123" spans="2:8" ht="21" customHeight="1" x14ac:dyDescent="0.25">
      <c r="B123" s="43"/>
      <c r="C123" s="43"/>
      <c r="D123" s="43"/>
      <c r="E123" s="43"/>
      <c r="F123" s="46"/>
      <c r="G123" s="46"/>
      <c r="H123" s="45" t="str">
        <f t="shared" si="3"/>
        <v/>
      </c>
    </row>
    <row r="124" spans="2:8" ht="21" customHeight="1" x14ac:dyDescent="0.25">
      <c r="B124" s="43"/>
      <c r="C124" s="43"/>
      <c r="D124" s="43"/>
      <c r="E124" s="43"/>
      <c r="F124" s="46"/>
      <c r="G124" s="46"/>
      <c r="H124" s="45" t="str">
        <f t="shared" si="3"/>
        <v/>
      </c>
    </row>
    <row r="125" spans="2:8" ht="21" customHeight="1" x14ac:dyDescent="0.25">
      <c r="B125" s="43"/>
      <c r="C125" s="43"/>
      <c r="D125" s="43"/>
      <c r="E125" s="43"/>
      <c r="F125" s="46"/>
      <c r="G125" s="46"/>
      <c r="H125" s="45" t="str">
        <f t="shared" si="3"/>
        <v/>
      </c>
    </row>
    <row r="126" spans="2:8" ht="21" customHeight="1" x14ac:dyDescent="0.25">
      <c r="B126" s="43"/>
      <c r="C126" s="43"/>
      <c r="D126" s="43"/>
      <c r="E126" s="43"/>
      <c r="F126" s="46"/>
      <c r="G126" s="46"/>
      <c r="H126" s="45" t="str">
        <f t="shared" si="3"/>
        <v/>
      </c>
    </row>
    <row r="127" spans="2:8" ht="21" customHeight="1" x14ac:dyDescent="0.25">
      <c r="B127" s="43"/>
      <c r="C127" s="43"/>
      <c r="D127" s="43"/>
      <c r="E127" s="43"/>
      <c r="F127" s="46"/>
      <c r="G127" s="46"/>
      <c r="H127" s="45" t="str">
        <f t="shared" si="3"/>
        <v/>
      </c>
    </row>
    <row r="128" spans="2:8" ht="21" customHeight="1" x14ac:dyDescent="0.25">
      <c r="B128" s="43"/>
      <c r="C128" s="43"/>
      <c r="D128" s="43"/>
      <c r="E128" s="43"/>
      <c r="F128" s="46"/>
      <c r="G128" s="46"/>
      <c r="H128" s="45" t="str">
        <f t="shared" si="3"/>
        <v/>
      </c>
    </row>
    <row r="129" spans="2:8" ht="21" customHeight="1" x14ac:dyDescent="0.25">
      <c r="B129" s="43"/>
      <c r="C129" s="43"/>
      <c r="D129" s="43"/>
      <c r="E129" s="43"/>
      <c r="F129" s="46"/>
      <c r="G129" s="46"/>
      <c r="H129" s="45" t="str">
        <f t="shared" si="3"/>
        <v/>
      </c>
    </row>
    <row r="130" spans="2:8" ht="21" customHeight="1" x14ac:dyDescent="0.25">
      <c r="B130" s="43"/>
      <c r="C130" s="43"/>
      <c r="D130" s="43"/>
      <c r="E130" s="43"/>
      <c r="F130" s="46"/>
      <c r="G130" s="46"/>
      <c r="H130" s="45" t="str">
        <f t="shared" si="3"/>
        <v/>
      </c>
    </row>
    <row r="131" spans="2:8" ht="21" customHeight="1" x14ac:dyDescent="0.25">
      <c r="B131" s="43"/>
      <c r="C131" s="43"/>
      <c r="D131" s="43"/>
      <c r="E131" s="43"/>
      <c r="F131" s="46"/>
      <c r="G131" s="46"/>
      <c r="H131" s="45" t="str">
        <f t="shared" si="3"/>
        <v/>
      </c>
    </row>
    <row r="132" spans="2:8" ht="21" customHeight="1" x14ac:dyDescent="0.25">
      <c r="B132" s="43"/>
      <c r="C132" s="43"/>
      <c r="D132" s="43"/>
      <c r="E132" s="43"/>
      <c r="F132" s="46"/>
      <c r="G132" s="46"/>
      <c r="H132" s="45" t="str">
        <f t="shared" si="3"/>
        <v/>
      </c>
    </row>
    <row r="133" spans="2:8" ht="21" customHeight="1" x14ac:dyDescent="0.25">
      <c r="B133" s="43"/>
      <c r="C133" s="43"/>
      <c r="D133" s="43"/>
      <c r="E133" s="43"/>
      <c r="F133" s="46"/>
      <c r="G133" s="46"/>
      <c r="H133" s="45" t="str">
        <f t="shared" si="3"/>
        <v/>
      </c>
    </row>
    <row r="134" spans="2:8" ht="21" customHeight="1" x14ac:dyDescent="0.25">
      <c r="B134" s="43"/>
      <c r="C134" s="43"/>
      <c r="D134" s="43"/>
      <c r="E134" s="43"/>
      <c r="F134" s="46"/>
      <c r="G134" s="46"/>
      <c r="H134" s="45" t="str">
        <f t="shared" si="3"/>
        <v/>
      </c>
    </row>
    <row r="135" spans="2:8" ht="21" customHeight="1" x14ac:dyDescent="0.25">
      <c r="B135" s="43"/>
      <c r="C135" s="43"/>
      <c r="D135" s="43"/>
      <c r="E135" s="43"/>
      <c r="F135" s="46"/>
      <c r="G135" s="46"/>
      <c r="H135" s="45" t="str">
        <f t="shared" si="3"/>
        <v/>
      </c>
    </row>
    <row r="136" spans="2:8" ht="21" customHeight="1" x14ac:dyDescent="0.25">
      <c r="B136" s="43"/>
      <c r="C136" s="43"/>
      <c r="D136" s="43"/>
      <c r="E136" s="43"/>
      <c r="F136" s="46"/>
      <c r="G136" s="46"/>
      <c r="H136" s="45" t="str">
        <f t="shared" si="3"/>
        <v/>
      </c>
    </row>
    <row r="137" spans="2:8" ht="21" customHeight="1" x14ac:dyDescent="0.25">
      <c r="B137" s="43"/>
      <c r="C137" s="43"/>
      <c r="D137" s="43"/>
      <c r="E137" s="43"/>
      <c r="F137" s="46"/>
      <c r="G137" s="46"/>
      <c r="H137" s="45" t="str">
        <f t="shared" ref="H137:H168" si="4">IF(B137="","",IF(AND(F137&lt;&gt;"",G137&lt;&gt;"",G137&lt;F137),"⚠ Échéance avant début","✓"))</f>
        <v/>
      </c>
    </row>
    <row r="138" spans="2:8" ht="21" customHeight="1" x14ac:dyDescent="0.25">
      <c r="B138" s="43"/>
      <c r="C138" s="43"/>
      <c r="D138" s="43"/>
      <c r="E138" s="43"/>
      <c r="F138" s="46"/>
      <c r="G138" s="46"/>
      <c r="H138" s="45" t="str">
        <f t="shared" si="4"/>
        <v/>
      </c>
    </row>
    <row r="139" spans="2:8" ht="21" customHeight="1" x14ac:dyDescent="0.25">
      <c r="B139" s="43"/>
      <c r="C139" s="43"/>
      <c r="D139" s="43"/>
      <c r="E139" s="43"/>
      <c r="F139" s="46"/>
      <c r="G139" s="46"/>
      <c r="H139" s="45" t="str">
        <f t="shared" si="4"/>
        <v/>
      </c>
    </row>
    <row r="140" spans="2:8" ht="21" customHeight="1" x14ac:dyDescent="0.25">
      <c r="B140" s="43"/>
      <c r="C140" s="43"/>
      <c r="D140" s="43"/>
      <c r="E140" s="43"/>
      <c r="F140" s="46"/>
      <c r="G140" s="46"/>
      <c r="H140" s="45" t="str">
        <f t="shared" si="4"/>
        <v/>
      </c>
    </row>
    <row r="141" spans="2:8" ht="21" customHeight="1" x14ac:dyDescent="0.25">
      <c r="B141" s="43"/>
      <c r="C141" s="43"/>
      <c r="D141" s="43"/>
      <c r="E141" s="43"/>
      <c r="F141" s="46"/>
      <c r="G141" s="46"/>
      <c r="H141" s="45" t="str">
        <f t="shared" si="4"/>
        <v/>
      </c>
    </row>
    <row r="142" spans="2:8" ht="21" customHeight="1" x14ac:dyDescent="0.25">
      <c r="B142" s="43"/>
      <c r="C142" s="43"/>
      <c r="D142" s="43"/>
      <c r="E142" s="43"/>
      <c r="F142" s="46"/>
      <c r="G142" s="46"/>
      <c r="H142" s="45" t="str">
        <f t="shared" si="4"/>
        <v/>
      </c>
    </row>
    <row r="143" spans="2:8" ht="21" customHeight="1" x14ac:dyDescent="0.25">
      <c r="B143" s="43"/>
      <c r="C143" s="43"/>
      <c r="D143" s="43"/>
      <c r="E143" s="43"/>
      <c r="F143" s="46"/>
      <c r="G143" s="46"/>
      <c r="H143" s="45" t="str">
        <f t="shared" si="4"/>
        <v/>
      </c>
    </row>
    <row r="144" spans="2:8" ht="21" customHeight="1" x14ac:dyDescent="0.25">
      <c r="B144" s="43"/>
      <c r="C144" s="43"/>
      <c r="D144" s="43"/>
      <c r="E144" s="43"/>
      <c r="F144" s="46"/>
      <c r="G144" s="46"/>
      <c r="H144" s="45" t="str">
        <f t="shared" si="4"/>
        <v/>
      </c>
    </row>
    <row r="145" spans="2:8" ht="21" customHeight="1" x14ac:dyDescent="0.25">
      <c r="B145" s="43"/>
      <c r="C145" s="43"/>
      <c r="D145" s="43"/>
      <c r="E145" s="43"/>
      <c r="F145" s="46"/>
      <c r="G145" s="46"/>
      <c r="H145" s="45" t="str">
        <f t="shared" si="4"/>
        <v/>
      </c>
    </row>
    <row r="146" spans="2:8" ht="21" customHeight="1" x14ac:dyDescent="0.25">
      <c r="B146" s="43"/>
      <c r="C146" s="43"/>
      <c r="D146" s="43"/>
      <c r="E146" s="43"/>
      <c r="F146" s="46"/>
      <c r="G146" s="46"/>
      <c r="H146" s="45" t="str">
        <f t="shared" si="4"/>
        <v/>
      </c>
    </row>
    <row r="147" spans="2:8" ht="21" customHeight="1" x14ac:dyDescent="0.25">
      <c r="B147" s="43"/>
      <c r="C147" s="43"/>
      <c r="D147" s="43"/>
      <c r="E147" s="43"/>
      <c r="F147" s="46"/>
      <c r="G147" s="46"/>
      <c r="H147" s="45" t="str">
        <f t="shared" si="4"/>
        <v/>
      </c>
    </row>
    <row r="148" spans="2:8" ht="21" customHeight="1" x14ac:dyDescent="0.25">
      <c r="B148" s="43"/>
      <c r="C148" s="43"/>
      <c r="D148" s="43"/>
      <c r="E148" s="43"/>
      <c r="F148" s="46"/>
      <c r="G148" s="46"/>
      <c r="H148" s="45" t="str">
        <f t="shared" si="4"/>
        <v/>
      </c>
    </row>
    <row r="149" spans="2:8" ht="21" customHeight="1" x14ac:dyDescent="0.25">
      <c r="B149" s="43"/>
      <c r="C149" s="43"/>
      <c r="D149" s="43"/>
      <c r="E149" s="43"/>
      <c r="F149" s="46"/>
      <c r="G149" s="46"/>
      <c r="H149" s="45" t="str">
        <f t="shared" si="4"/>
        <v/>
      </c>
    </row>
    <row r="150" spans="2:8" ht="21" customHeight="1" x14ac:dyDescent="0.25">
      <c r="B150" s="43"/>
      <c r="C150" s="43"/>
      <c r="D150" s="43"/>
      <c r="E150" s="43"/>
      <c r="F150" s="46"/>
      <c r="G150" s="46"/>
      <c r="H150" s="45" t="str">
        <f t="shared" si="4"/>
        <v/>
      </c>
    </row>
    <row r="151" spans="2:8" ht="21" customHeight="1" x14ac:dyDescent="0.25">
      <c r="B151" s="43"/>
      <c r="C151" s="43"/>
      <c r="D151" s="43"/>
      <c r="E151" s="43"/>
      <c r="F151" s="46"/>
      <c r="G151" s="46"/>
      <c r="H151" s="45" t="str">
        <f t="shared" si="4"/>
        <v/>
      </c>
    </row>
    <row r="152" spans="2:8" ht="21" customHeight="1" x14ac:dyDescent="0.25">
      <c r="B152" s="43"/>
      <c r="C152" s="43"/>
      <c r="D152" s="43"/>
      <c r="E152" s="43"/>
      <c r="F152" s="46"/>
      <c r="G152" s="46"/>
      <c r="H152" s="45" t="str">
        <f t="shared" si="4"/>
        <v/>
      </c>
    </row>
    <row r="153" spans="2:8" ht="21" customHeight="1" x14ac:dyDescent="0.25">
      <c r="B153" s="43"/>
      <c r="C153" s="43"/>
      <c r="D153" s="43"/>
      <c r="E153" s="43"/>
      <c r="F153" s="46"/>
      <c r="G153" s="46"/>
      <c r="H153" s="45" t="str">
        <f t="shared" si="4"/>
        <v/>
      </c>
    </row>
    <row r="154" spans="2:8" ht="21" customHeight="1" x14ac:dyDescent="0.25">
      <c r="B154" s="43"/>
      <c r="C154" s="43"/>
      <c r="D154" s="43"/>
      <c r="E154" s="43"/>
      <c r="F154" s="46"/>
      <c r="G154" s="46"/>
      <c r="H154" s="45" t="str">
        <f t="shared" si="4"/>
        <v/>
      </c>
    </row>
    <row r="155" spans="2:8" ht="21" customHeight="1" x14ac:dyDescent="0.25">
      <c r="B155" s="43"/>
      <c r="C155" s="43"/>
      <c r="D155" s="43"/>
      <c r="E155" s="43"/>
      <c r="F155" s="46"/>
      <c r="G155" s="46"/>
      <c r="H155" s="45" t="str">
        <f t="shared" si="4"/>
        <v/>
      </c>
    </row>
    <row r="156" spans="2:8" ht="21" customHeight="1" x14ac:dyDescent="0.25">
      <c r="B156" s="43"/>
      <c r="C156" s="43"/>
      <c r="D156" s="43"/>
      <c r="E156" s="43"/>
      <c r="F156" s="46"/>
      <c r="G156" s="46"/>
      <c r="H156" s="45" t="str">
        <f t="shared" si="4"/>
        <v/>
      </c>
    </row>
    <row r="157" spans="2:8" ht="21" customHeight="1" x14ac:dyDescent="0.25">
      <c r="B157" s="43"/>
      <c r="C157" s="43"/>
      <c r="D157" s="43"/>
      <c r="E157" s="43"/>
      <c r="F157" s="46"/>
      <c r="G157" s="46"/>
      <c r="H157" s="45" t="str">
        <f t="shared" si="4"/>
        <v/>
      </c>
    </row>
    <row r="158" spans="2:8" ht="21" customHeight="1" x14ac:dyDescent="0.25">
      <c r="B158" s="43"/>
      <c r="C158" s="43"/>
      <c r="D158" s="43"/>
      <c r="E158" s="43"/>
      <c r="F158" s="46"/>
      <c r="G158" s="46"/>
      <c r="H158" s="45" t="str">
        <f t="shared" si="4"/>
        <v/>
      </c>
    </row>
  </sheetData>
  <sheetProtection sheet="1" formatColumns="0" formatRows="0" sort="0" autoFilter="0"/>
  <autoFilter ref="B8:H8" xr:uid="{00000000-0009-0000-0000-000010000000}"/>
  <conditionalFormatting sqref="B9:C158">
    <cfRule type="expression" dxfId="5" priority="1">
      <formula>AND(OR($B9&lt;&gt;"",$C9&lt;&gt;"",$D9&lt;&gt;"",$E9&lt;&gt;"",$F9&lt;&gt;"",$G9&lt;&gt;""),B9="")</formula>
    </cfRule>
  </conditionalFormatting>
  <conditionalFormatting sqref="E9:E158">
    <cfRule type="expression" dxfId="4" priority="3">
      <formula>AND(OR($B9&lt;&gt;"",$C9&lt;&gt;"",$D9&lt;&gt;"",$E9&lt;&gt;"",$F9&lt;&gt;"",$G9&lt;&gt;""),E9="")</formula>
    </cfRule>
  </conditionalFormatting>
  <conditionalFormatting sqref="G9:G158">
    <cfRule type="expression" dxfId="3" priority="4">
      <formula>AND(OR($B9&lt;&gt;"",$C9&lt;&gt;"",$D9&lt;&gt;"",$E9&lt;&gt;"",$F9&lt;&gt;"",$G9&lt;&gt;""),G9="")</formula>
    </cfRule>
  </conditionalFormatting>
  <dataValidations count="4">
    <dataValidation type="list" allowBlank="1" showErrorMessage="1" errorTitle="Valeur hors liste" error="Choisissez une valeur dans la liste. Elle se remplit à partir de l’onglet correspondant." sqref="C9:C158" xr:uid="{00000000-0002-0000-1000-000000000000}">
      <formula1>L_SousPhases</formula1>
    </dataValidation>
    <dataValidation type="list" allowBlank="1" showErrorMessage="1" errorTitle="Valeur hors liste" error="Choisissez une valeur dans la liste. Elle se remplit à partir de l’onglet correspondant." sqref="D9:D158" xr:uid="{00000000-0002-0000-1000-000002000000}">
      <formula1>L_Chantiers</formula1>
    </dataValidation>
    <dataValidation type="list" allowBlank="1" showErrorMessage="1" errorTitle="Valeur hors liste" error="Choisissez une valeur dans la liste. Elle se remplit à partir de l’onglet correspondant." sqref="E9:E158" xr:uid="{00000000-0002-0000-1000-000004000000}">
      <formula1>L_Personnes</formula1>
    </dataValidation>
    <dataValidation type="date" operator="greaterThan" allowBlank="1" showErrorMessage="1" errorTitle="Date attendue" error="Saisissez une date au format JJ/MM/AAAA." sqref="F9:G158" xr:uid="{00000000-0002-0000-1000-000006000000}">
      <formula1>36526</formula1>
    </dataValidation>
  </dataValidations>
  <hyperlinks>
    <hyperlink ref="H3" location="#'Complétude'!A1" display="↩  Complétude" xr:uid="{00000000-0004-0000-1000-000000000000}"/>
  </hyperlinks>
  <pageMargins left="0.4" right="0.4" top="0.5" bottom="0.5" header="0.2" footer="0.2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0000000-000E-0000-1000-000005000000}">
            <xm:f>NOT(ISERROR(SEARCH("⚠",H9)))</xm:f>
            <x14:dxf>
              <font>
                <b/>
                <color rgb="FFC2473B"/>
              </font>
            </x14:dxf>
          </x14:cfRule>
          <x14:cfRule type="containsText" priority="5" operator="containsText" id="{00000000-000E-0000-1000-000005000000}">
            <xm:f>NOT(ISERROR(SEARCH("◔",H9)))</xm:f>
            <x14:dxf>
              <font>
                <b/>
                <color rgb="FFB26A12"/>
              </font>
            </x14:dxf>
          </x14:cfRule>
          <xm:sqref>H9:H158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9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</row>
    <row r="2" spans="1:13" x14ac:dyDescent="0.25">
      <c r="A2" t="s">
        <v>300</v>
      </c>
      <c r="B2" t="s">
        <v>301</v>
      </c>
      <c r="C2" t="s">
        <v>217</v>
      </c>
      <c r="D2" t="s">
        <v>302</v>
      </c>
      <c r="E2" t="s">
        <v>177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167</v>
      </c>
      <c r="M2" t="s">
        <v>167</v>
      </c>
    </row>
    <row r="3" spans="1:13" x14ac:dyDescent="0.25">
      <c r="A3" t="s">
        <v>309</v>
      </c>
      <c r="B3" t="s">
        <v>309</v>
      </c>
      <c r="C3" t="s">
        <v>310</v>
      </c>
      <c r="D3" t="s">
        <v>311</v>
      </c>
      <c r="E3" t="s">
        <v>173</v>
      </c>
      <c r="F3" t="s">
        <v>312</v>
      </c>
      <c r="G3" t="s">
        <v>131</v>
      </c>
      <c r="H3" t="s">
        <v>313</v>
      </c>
      <c r="I3" t="s">
        <v>127</v>
      </c>
      <c r="J3" t="s">
        <v>217</v>
      </c>
      <c r="K3" t="s">
        <v>314</v>
      </c>
      <c r="L3" t="s">
        <v>171</v>
      </c>
      <c r="M3" t="s">
        <v>182</v>
      </c>
    </row>
    <row r="4" spans="1:13" x14ac:dyDescent="0.25">
      <c r="A4" t="s">
        <v>315</v>
      </c>
      <c r="B4" t="s">
        <v>316</v>
      </c>
      <c r="D4" t="s">
        <v>317</v>
      </c>
      <c r="F4" t="s">
        <v>318</v>
      </c>
      <c r="G4" t="s">
        <v>319</v>
      </c>
      <c r="H4" t="s">
        <v>320</v>
      </c>
      <c r="I4" t="s">
        <v>321</v>
      </c>
      <c r="J4" t="s">
        <v>310</v>
      </c>
      <c r="K4" t="s">
        <v>322</v>
      </c>
      <c r="L4" t="s">
        <v>175</v>
      </c>
      <c r="M4" t="s">
        <v>184</v>
      </c>
    </row>
    <row r="5" spans="1:13" x14ac:dyDescent="0.25">
      <c r="D5" t="s">
        <v>323</v>
      </c>
      <c r="F5" t="s">
        <v>324</v>
      </c>
      <c r="G5" t="s">
        <v>325</v>
      </c>
      <c r="H5" t="s">
        <v>326</v>
      </c>
      <c r="I5" t="s">
        <v>327</v>
      </c>
      <c r="K5" t="s">
        <v>328</v>
      </c>
      <c r="L5" t="s">
        <v>179</v>
      </c>
    </row>
    <row r="6" spans="1:13" x14ac:dyDescent="0.25">
      <c r="D6" t="s">
        <v>329</v>
      </c>
      <c r="F6" t="s">
        <v>330</v>
      </c>
      <c r="H6" t="s">
        <v>331</v>
      </c>
      <c r="K6" t="s">
        <v>332</v>
      </c>
      <c r="L6" t="s">
        <v>182</v>
      </c>
    </row>
    <row r="7" spans="1:13" x14ac:dyDescent="0.25">
      <c r="F7" t="s">
        <v>333</v>
      </c>
      <c r="H7" t="s">
        <v>334</v>
      </c>
      <c r="L7" t="s">
        <v>184</v>
      </c>
    </row>
    <row r="8" spans="1:13" x14ac:dyDescent="0.25">
      <c r="F8" t="s">
        <v>335</v>
      </c>
      <c r="H8" t="s">
        <v>336</v>
      </c>
      <c r="L8" t="s">
        <v>186</v>
      </c>
    </row>
    <row r="9" spans="1:13" x14ac:dyDescent="0.25">
      <c r="H9" t="s">
        <v>337</v>
      </c>
      <c r="L9" t="s">
        <v>188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33</vt:i4>
      </vt:variant>
    </vt:vector>
  </HeadingPairs>
  <TitlesOfParts>
    <vt:vector size="50" baseType="lpstr">
      <vt:lpstr>Complétude</vt:lpstr>
      <vt:lpstr>Glossaire</vt:lpstr>
      <vt:lpstr>Références</vt:lpstr>
      <vt:lpstr>01 Équipes</vt:lpstr>
      <vt:lpstr>02 Rôles</vt:lpstr>
      <vt:lpstr>03 Personnes</vt:lpstr>
      <vt:lpstr>04 Affectations</vt:lpstr>
      <vt:lpstr>05 Projet</vt:lpstr>
      <vt:lpstr>06 Info projet</vt:lpstr>
      <vt:lpstr>07 Lots</vt:lpstr>
      <vt:lpstr>08 Phases</vt:lpstr>
      <vt:lpstr>09 Sous-phases</vt:lpstr>
      <vt:lpstr>10 Chantiers</vt:lpstr>
      <vt:lpstr>11 Instances</vt:lpstr>
      <vt:lpstr>12 Membres</vt:lpstr>
      <vt:lpstr>13 Jalons</vt:lpstr>
      <vt:lpstr>14 Livrables</vt:lpstr>
      <vt:lpstr>'01 Équipes'!Impression_des_titres</vt:lpstr>
      <vt:lpstr>'02 Rôles'!Impression_des_titres</vt:lpstr>
      <vt:lpstr>'03 Personnes'!Impression_des_titres</vt:lpstr>
      <vt:lpstr>'04 Affectations'!Impression_des_titres</vt:lpstr>
      <vt:lpstr>'07 Lots'!Impression_des_titres</vt:lpstr>
      <vt:lpstr>'08 Phases'!Impression_des_titres</vt:lpstr>
      <vt:lpstr>'09 Sous-phases'!Impression_des_titres</vt:lpstr>
      <vt:lpstr>'10 Chantiers'!Impression_des_titres</vt:lpstr>
      <vt:lpstr>'11 Instances'!Impression_des_titres</vt:lpstr>
      <vt:lpstr>'12 Membres'!Impression_des_titres</vt:lpstr>
      <vt:lpstr>'13 Jalons'!Impression_des_titres</vt:lpstr>
      <vt:lpstr>'14 Livrables'!Impression_des_titres</vt:lpstr>
      <vt:lpstr>L_Chantiers</vt:lpstr>
      <vt:lpstr>L_Couleur</vt:lpstr>
      <vt:lpstr>L_Equipes</vt:lpstr>
      <vt:lpstr>L_Frequence</vt:lpstr>
      <vt:lpstr>L_Fuseau</vt:lpstr>
      <vt:lpstr>L_Instances</vt:lpstr>
      <vt:lpstr>L_Lots</vt:lpstr>
      <vt:lpstr>L_Niveau</vt:lpstr>
      <vt:lpstr>L_OuiNon</vt:lpstr>
      <vt:lpstr>L_Permission</vt:lpstr>
      <vt:lpstr>L_Personnes</vt:lpstr>
      <vt:lpstr>L_Phases</vt:lpstr>
      <vt:lpstr>L_RoleInstance</vt:lpstr>
      <vt:lpstr>L_Roles</vt:lpstr>
      <vt:lpstr>L_Rubriques</vt:lpstr>
      <vt:lpstr>L_RubriquesPaires</vt:lpstr>
      <vt:lpstr>L_SousPhases</vt:lpstr>
      <vt:lpstr>L_StatutChantier</vt:lpstr>
      <vt:lpstr>L_StatutLot</vt:lpstr>
      <vt:lpstr>L_StatutPhase</vt:lpstr>
      <vt:lpstr>L_StatutProjet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 Cockpit</dc:creator>
  <cp:lastModifiedBy>Cédric SCHMITZ</cp:lastModifiedBy>
  <dcterms:created xsi:type="dcterms:W3CDTF">2026-09-26T19:48:24Z</dcterms:created>
  <dcterms:modified xsi:type="dcterms:W3CDTF">2026-10-07T16:30:45Z</dcterms:modified>
</cp:coreProperties>
</file>